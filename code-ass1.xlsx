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F311B73-D592-4035-BE2D-449952766B53}" xr6:coauthVersionLast="47" xr6:coauthVersionMax="47" xr10:uidLastSave="{00000000-0000-0000-0000-000000000000}"/>
  <bookViews>
    <workbookView xWindow="-108" yWindow="-108" windowWidth="23256" windowHeight="12456" activeTab="3" xr2:uid="{C9D8BF94-B811-4984-9A4D-BDC242103268}"/>
  </bookViews>
  <sheets>
    <sheet name="AS03-MP01" sheetId="1" r:id="rId1"/>
    <sheet name="AS01" sheetId="3" r:id="rId2"/>
    <sheet name="AS05" sheetId="2" r:id="rId3"/>
    <sheet name="Final Quo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4" l="1"/>
  <c r="F12" i="4"/>
  <c r="F11" i="4"/>
  <c r="F10" i="4"/>
  <c r="F9" i="4"/>
  <c r="F8" i="4"/>
  <c r="F7" i="4"/>
  <c r="F6" i="4"/>
  <c r="F5" i="4"/>
  <c r="F4" i="4"/>
  <c r="F3" i="4"/>
  <c r="F2" i="4"/>
  <c r="G182" i="2"/>
  <c r="G181" i="2"/>
  <c r="G175" i="2"/>
  <c r="G171" i="2"/>
  <c r="G142" i="2"/>
  <c r="G148" i="2"/>
  <c r="G147" i="2"/>
  <c r="G141" i="2"/>
  <c r="G137" i="2"/>
  <c r="G108" i="2"/>
  <c r="G114" i="2"/>
  <c r="G113" i="2"/>
  <c r="G130" i="2" s="1"/>
  <c r="G107" i="2"/>
  <c r="G103" i="2"/>
  <c r="G80" i="2"/>
  <c r="G79" i="2"/>
  <c r="G74" i="2"/>
  <c r="G70" i="2"/>
  <c r="G47" i="2"/>
  <c r="G46" i="2"/>
  <c r="G41" i="2"/>
  <c r="G37" i="2"/>
  <c r="G15" i="2"/>
  <c r="G14" i="2"/>
  <c r="G13" i="2"/>
  <c r="G9" i="2"/>
  <c r="G8" i="2"/>
  <c r="G4" i="2"/>
  <c r="G137" i="3"/>
  <c r="D112" i="3"/>
  <c r="D114" i="3"/>
  <c r="G108" i="3"/>
  <c r="G120" i="3"/>
  <c r="G119" i="3"/>
  <c r="G118" i="3"/>
  <c r="G114" i="3"/>
  <c r="G113" i="3"/>
  <c r="G112" i="3"/>
  <c r="G107" i="3"/>
  <c r="G79" i="3"/>
  <c r="G85" i="3"/>
  <c r="G84" i="3"/>
  <c r="G83" i="3"/>
  <c r="G100" i="3" s="1"/>
  <c r="G78" i="3"/>
  <c r="G77" i="3"/>
  <c r="G73" i="3"/>
  <c r="G44" i="3"/>
  <c r="G54" i="3"/>
  <c r="G50" i="3"/>
  <c r="G49" i="3"/>
  <c r="G48" i="3"/>
  <c r="G43" i="3"/>
  <c r="G39" i="3"/>
  <c r="G10" i="3"/>
  <c r="G20" i="3"/>
  <c r="G16" i="3"/>
  <c r="G15" i="3"/>
  <c r="G14" i="3"/>
  <c r="G9" i="3"/>
  <c r="G8" i="3"/>
  <c r="G4" i="3"/>
  <c r="G31" i="1"/>
  <c r="G19" i="1"/>
  <c r="G14" i="1"/>
  <c r="G15" i="1"/>
  <c r="G13" i="1"/>
  <c r="G9" i="1"/>
  <c r="G8" i="1"/>
  <c r="G4" i="1"/>
  <c r="G198" i="2" l="1"/>
  <c r="G164" i="2"/>
  <c r="G30" i="2"/>
  <c r="G63" i="2"/>
  <c r="G96" i="2"/>
  <c r="G32" i="3"/>
  <c r="G66" i="3"/>
</calcChain>
</file>

<file path=xl/sharedStrings.xml><?xml version="1.0" encoding="utf-8"?>
<sst xmlns="http://schemas.openxmlformats.org/spreadsheetml/2006/main" count="749" uniqueCount="88">
  <si>
    <t>RBPR-2425-030-AS03-MP01.SLDDRW</t>
  </si>
  <si>
    <t>Raw Material</t>
  </si>
  <si>
    <t>Sno</t>
  </si>
  <si>
    <t>Descriptions</t>
  </si>
  <si>
    <t>Usage</t>
  </si>
  <si>
    <t>Volume</t>
  </si>
  <si>
    <t>Rate</t>
  </si>
  <si>
    <t>Final Cost</t>
  </si>
  <si>
    <t>800*750*40</t>
  </si>
  <si>
    <t>-</t>
  </si>
  <si>
    <t>Weight in kg</t>
  </si>
  <si>
    <t>Rate per kg</t>
  </si>
  <si>
    <t>Machining Cost</t>
  </si>
  <si>
    <t>Raw Material cost (Mild steel)</t>
  </si>
  <si>
    <t>Total setups</t>
  </si>
  <si>
    <t>setup cost</t>
  </si>
  <si>
    <t>Machining hours</t>
  </si>
  <si>
    <t>Machining Rate/hr</t>
  </si>
  <si>
    <t>Cnc Machining 3axis</t>
  </si>
  <si>
    <t>Post Processing Cost</t>
  </si>
  <si>
    <t>Grinding</t>
  </si>
  <si>
    <t>Electroless Nickel Plating</t>
  </si>
  <si>
    <t>Sandblasting</t>
  </si>
  <si>
    <t>Tapping M20*2.5mm</t>
  </si>
  <si>
    <t>Inspection</t>
  </si>
  <si>
    <t>CMM Inspection</t>
  </si>
  <si>
    <t>Manual Inspection</t>
  </si>
  <si>
    <t>Total Setups</t>
  </si>
  <si>
    <t>Setup Cost</t>
  </si>
  <si>
    <t>Inspection Hours</t>
  </si>
  <si>
    <t>Rate/hr</t>
  </si>
  <si>
    <t>Logistics and packaging</t>
  </si>
  <si>
    <t>Sno.</t>
  </si>
  <si>
    <t>Comments</t>
  </si>
  <si>
    <t>Final cost</t>
  </si>
  <si>
    <t>Packaging</t>
  </si>
  <si>
    <t xml:space="preserve">Wooden box with foams and bubble wrap </t>
  </si>
  <si>
    <t>Logistics</t>
  </si>
  <si>
    <t>By train</t>
  </si>
  <si>
    <t>Grand Total</t>
  </si>
  <si>
    <t>Any Other Cost</t>
  </si>
  <si>
    <t>RBPR-2425-030-AS01-MP01.SLDDRW</t>
  </si>
  <si>
    <t>Dia150*50mm</t>
  </si>
  <si>
    <t>Cnc Turning</t>
  </si>
  <si>
    <t>Tapping M6</t>
  </si>
  <si>
    <t>RBPR-2425-030-AS01-MP04.SLDDRW</t>
  </si>
  <si>
    <t>110*110*35mm</t>
  </si>
  <si>
    <t>Reamer dia 8</t>
  </si>
  <si>
    <t>Tapping M8</t>
  </si>
  <si>
    <t>RBPR-2425-030-AS01-MP06.SLDDRW</t>
  </si>
  <si>
    <t>dia100*200 mm</t>
  </si>
  <si>
    <t>CNC Turning</t>
  </si>
  <si>
    <t>Tapping M10</t>
  </si>
  <si>
    <t>RBPR-2425-030-AS01-MP05.SLDDRW</t>
  </si>
  <si>
    <t>100*100*50 mm</t>
  </si>
  <si>
    <t>Dia 50*450mm</t>
  </si>
  <si>
    <t>Rod</t>
  </si>
  <si>
    <t>Tapping M16</t>
  </si>
  <si>
    <t>Reamer dia 6</t>
  </si>
  <si>
    <t>Welding</t>
  </si>
  <si>
    <t>Tapping M5</t>
  </si>
  <si>
    <t>Reamer dia 5</t>
  </si>
  <si>
    <t>RBPR-2425-030-AS05-MP01.SLDDRW</t>
  </si>
  <si>
    <t>200*100*20</t>
  </si>
  <si>
    <t>Considered in previous quote</t>
  </si>
  <si>
    <t>RBPR-2425-030-AS05-MP02.SLDDRW</t>
  </si>
  <si>
    <t>100*100*20</t>
  </si>
  <si>
    <t>Not required</t>
  </si>
  <si>
    <t>White Anodizing</t>
  </si>
  <si>
    <t>dia100*120</t>
  </si>
  <si>
    <t>Turning</t>
  </si>
  <si>
    <t>Tapping M4</t>
  </si>
  <si>
    <t>N/A</t>
  </si>
  <si>
    <t>RBPR-2425-030-AS05-MP08.SLDDRW</t>
  </si>
  <si>
    <t>RBPR-2425-030-AS05-MP07.SLDDRW</t>
  </si>
  <si>
    <t>RBPR-2425-030-AS05-MP07.SLDDRW_2QTY</t>
  </si>
  <si>
    <t>60*60*60</t>
  </si>
  <si>
    <t>Tapping M3</t>
  </si>
  <si>
    <t>Part Name</t>
  </si>
  <si>
    <t>Qty</t>
  </si>
  <si>
    <t>Material</t>
  </si>
  <si>
    <t>Cost</t>
  </si>
  <si>
    <t>Mild steel</t>
  </si>
  <si>
    <t>Surface Finish</t>
  </si>
  <si>
    <t>Electroless Nickel Plating Sand Blasting</t>
  </si>
  <si>
    <t>RBPR-2425-030-AS05-MP03.SLDDRW</t>
  </si>
  <si>
    <t>RBPR-2425-030-AS05-MP04.SLDDRW</t>
  </si>
  <si>
    <t>Powdercoating RAL 9005 (Jet 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</si>
</sst>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164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164" fontId="0" fillId="0" borderId="7" xfId="0" applyNumberFormat="1" applyBorder="1" applyAlignment="1">
      <alignment horizontal="left"/>
    </xf>
    <xf numFmtId="0" fontId="0" fillId="0" borderId="6" xfId="0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center"/>
    </xf>
    <xf numFmtId="0" fontId="2" fillId="4" borderId="15" xfId="0" applyFont="1" applyFill="1" applyBorder="1" applyAlignment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164" fontId="0" fillId="0" borderId="21" xfId="0" applyNumberFormat="1" applyBorder="1" applyAlignment="1">
      <alignment horizontal="left"/>
    </xf>
    <xf numFmtId="164" fontId="0" fillId="0" borderId="22" xfId="0" applyNumberFormat="1" applyBorder="1" applyAlignment="1">
      <alignment horizontal="lef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164" fontId="2" fillId="0" borderId="10" xfId="0" applyNumberFormat="1" applyFont="1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0" fillId="0" borderId="0" xfId="0" applyNumberFormat="1"/>
    <xf numFmtId="0" fontId="0" fillId="0" borderId="24" xfId="0" applyBorder="1" applyAlignment="1">
      <alignment horizontal="center"/>
    </xf>
    <xf numFmtId="0" fontId="2" fillId="5" borderId="1" xfId="0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5" borderId="3" xfId="0" applyFont="1" applyFill="1" applyBorder="1"/>
    <xf numFmtId="0" fontId="0" fillId="0" borderId="29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/>
    <xf numFmtId="164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4" xfId="0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emf"/><Relationship Id="rId6" Type="http://schemas.openxmlformats.org/officeDocument/2006/relationships/image" Target="../media/image11.emf"/><Relationship Id="rId5" Type="http://schemas.openxmlformats.org/officeDocument/2006/relationships/image" Target="../media/image10.emf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</xdr:colOff>
      <xdr:row>0</xdr:row>
      <xdr:rowOff>38100</xdr:rowOff>
    </xdr:from>
    <xdr:to>
      <xdr:col>15</xdr:col>
      <xdr:colOff>526244</xdr:colOff>
      <xdr:row>30</xdr:row>
      <xdr:rowOff>152893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39B4D-3039-4394-BE4F-E898817FE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5260" y="38100"/>
          <a:ext cx="5357324" cy="5692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68130</xdr:colOff>
      <xdr:row>7</xdr:row>
      <xdr:rowOff>110490</xdr:rowOff>
    </xdr:from>
    <xdr:to>
      <xdr:col>13</xdr:col>
      <xdr:colOff>90990</xdr:colOff>
      <xdr:row>22</xdr:row>
      <xdr:rowOff>41910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5223E2-351E-4B80-BE60-C0A99C7B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3636" y="1401408"/>
          <a:ext cx="3680460" cy="2665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74855</xdr:colOff>
      <xdr:row>39</xdr:row>
      <xdr:rowOff>64770</xdr:rowOff>
    </xdr:from>
    <xdr:to>
      <xdr:col>12</xdr:col>
      <xdr:colOff>219635</xdr:colOff>
      <xdr:row>64</xdr:row>
      <xdr:rowOff>156210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63E51D-14DF-4C42-95F6-8E380217C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361" y="7200676"/>
          <a:ext cx="3192780" cy="466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71718</xdr:colOff>
      <xdr:row>74</xdr:row>
      <xdr:rowOff>170329</xdr:rowOff>
    </xdr:from>
    <xdr:to>
      <xdr:col>11</xdr:col>
      <xdr:colOff>277458</xdr:colOff>
      <xdr:row>96</xdr:row>
      <xdr:rowOff>88750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1F8866-A096-4398-AB11-68351440D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7224" y="13716000"/>
          <a:ext cx="2644140" cy="394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71717</xdr:colOff>
      <xdr:row>109</xdr:row>
      <xdr:rowOff>98612</xdr:rowOff>
    </xdr:from>
    <xdr:to>
      <xdr:col>9</xdr:col>
      <xdr:colOff>429857</xdr:colOff>
      <xdr:row>132</xdr:row>
      <xdr:rowOff>121472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BA65F1-BB44-46F8-99E1-55B003508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1341" y="20045083"/>
          <a:ext cx="1577340" cy="4227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60960</xdr:colOff>
      <xdr:row>3</xdr:row>
      <xdr:rowOff>30480</xdr:rowOff>
    </xdr:from>
    <xdr:to>
      <xdr:col>11</xdr:col>
      <xdr:colOff>541020</xdr:colOff>
      <xdr:row>26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90226-8688-4404-83AE-5E14B5E34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594360"/>
          <a:ext cx="2918460" cy="429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99061</xdr:colOff>
      <xdr:row>42</xdr:row>
      <xdr:rowOff>15240</xdr:rowOff>
    </xdr:from>
    <xdr:to>
      <xdr:col>15</xdr:col>
      <xdr:colOff>349623</xdr:colOff>
      <xdr:row>56</xdr:row>
      <xdr:rowOff>40008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96BF2E-AE0D-403E-9271-66C5B60B3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0473" y="7706958"/>
          <a:ext cx="5127362" cy="2588674"/>
        </a:xfrm>
        <a:prstGeom prst="rect">
          <a:avLst/>
        </a:prstGeom>
      </xdr:spPr>
    </xdr:pic>
    <xdr:clientData/>
  </xdr:twoCellAnchor>
  <xdr:twoCellAnchor editAs="oneCell">
    <xdr:from>
      <xdr:col>7</xdr:col>
      <xdr:colOff>107576</xdr:colOff>
      <xdr:row>72</xdr:row>
      <xdr:rowOff>107578</xdr:rowOff>
    </xdr:from>
    <xdr:to>
      <xdr:col>18</xdr:col>
      <xdr:colOff>268941</xdr:colOff>
      <xdr:row>89</xdr:row>
      <xdr:rowOff>7245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E1ADE4-D97E-4C77-939B-82DF7B6C7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68988" y="13303625"/>
          <a:ext cx="6866965" cy="3001455"/>
        </a:xfrm>
        <a:prstGeom prst="rect">
          <a:avLst/>
        </a:prstGeom>
      </xdr:spPr>
    </xdr:pic>
    <xdr:clientData/>
  </xdr:twoCellAnchor>
  <xdr:twoCellAnchor editAs="oneCell">
    <xdr:from>
      <xdr:col>7</xdr:col>
      <xdr:colOff>251011</xdr:colOff>
      <xdr:row>105</xdr:row>
      <xdr:rowOff>98611</xdr:rowOff>
    </xdr:from>
    <xdr:to>
      <xdr:col>11</xdr:col>
      <xdr:colOff>533187</xdr:colOff>
      <xdr:row>122</xdr:row>
      <xdr:rowOff>167018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D834BE-EC03-478C-A76C-CCF88AEAE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12423" y="19336870"/>
          <a:ext cx="2720576" cy="3170195"/>
        </a:xfrm>
        <a:prstGeom prst="rect">
          <a:avLst/>
        </a:prstGeom>
      </xdr:spPr>
    </xdr:pic>
    <xdr:clientData/>
  </xdr:twoCellAnchor>
  <xdr:twoCellAnchor editAs="oneCell">
    <xdr:from>
      <xdr:col>7</xdr:col>
      <xdr:colOff>71717</xdr:colOff>
      <xdr:row>138</xdr:row>
      <xdr:rowOff>62753</xdr:rowOff>
    </xdr:from>
    <xdr:to>
      <xdr:col>12</xdr:col>
      <xdr:colOff>155537</xdr:colOff>
      <xdr:row>158</xdr:row>
      <xdr:rowOff>146573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0D2089-5BCF-4822-90A4-99864FACB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3129" y="25334259"/>
          <a:ext cx="3131820" cy="3732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233082</xdr:colOff>
      <xdr:row>178</xdr:row>
      <xdr:rowOff>17929</xdr:rowOff>
    </xdr:from>
    <xdr:to>
      <xdr:col>11</xdr:col>
      <xdr:colOff>255942</xdr:colOff>
      <xdr:row>190</xdr:row>
      <xdr:rowOff>116989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131490-BC1C-4EF3-8E83-4EDEDA2A6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4494" y="32604635"/>
          <a:ext cx="2461260" cy="2295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34F2-52A8-429F-A4D7-09D374B8B93A}">
  <dimension ref="A1:G37"/>
  <sheetViews>
    <sheetView workbookViewId="0">
      <selection sqref="A1:G1"/>
    </sheetView>
  </sheetViews>
  <sheetFormatPr defaultRowHeight="14.4" x14ac:dyDescent="0.3"/>
  <cols>
    <col min="1" max="1" width="6.44140625" customWidth="1"/>
    <col min="2" max="2" width="21.44140625" bestFit="1" customWidth="1"/>
    <col min="3" max="3" width="21.5546875" customWidth="1"/>
    <col min="4" max="4" width="16.44140625" customWidth="1"/>
    <col min="5" max="5" width="17.44140625" customWidth="1"/>
    <col min="6" max="6" width="16.109375" bestFit="1" customWidth="1"/>
    <col min="7" max="7" width="13.5546875" customWidth="1"/>
  </cols>
  <sheetData>
    <row r="1" spans="1:7" ht="15" thickBot="1" x14ac:dyDescent="0.35">
      <c r="A1" s="32" t="s">
        <v>0</v>
      </c>
      <c r="B1" s="33"/>
      <c r="C1" s="33"/>
      <c r="D1" s="33"/>
      <c r="E1" s="33"/>
      <c r="F1" s="33"/>
      <c r="G1" s="34"/>
    </row>
    <row r="2" spans="1:7" ht="15" thickBot="1" x14ac:dyDescent="0.35">
      <c r="A2" s="14" t="s">
        <v>13</v>
      </c>
      <c r="B2" s="15"/>
      <c r="C2" s="15"/>
      <c r="D2" s="15"/>
      <c r="E2" s="15"/>
      <c r="F2" s="15"/>
      <c r="G2" s="16"/>
    </row>
    <row r="3" spans="1:7" x14ac:dyDescent="0.3">
      <c r="A3" s="17" t="s">
        <v>2</v>
      </c>
      <c r="B3" s="18" t="s">
        <v>3</v>
      </c>
      <c r="C3" s="18" t="s">
        <v>4</v>
      </c>
      <c r="D3" s="18" t="s">
        <v>5</v>
      </c>
      <c r="E3" s="18" t="s">
        <v>10</v>
      </c>
      <c r="F3" s="18" t="s">
        <v>11</v>
      </c>
      <c r="G3" s="19" t="s">
        <v>7</v>
      </c>
    </row>
    <row r="4" spans="1:7" x14ac:dyDescent="0.3">
      <c r="A4" s="5">
        <v>1</v>
      </c>
      <c r="B4" s="2" t="s">
        <v>1</v>
      </c>
      <c r="C4" s="2" t="s">
        <v>8</v>
      </c>
      <c r="D4" s="2" t="s">
        <v>9</v>
      </c>
      <c r="E4" s="2">
        <v>188</v>
      </c>
      <c r="F4" s="3">
        <v>75</v>
      </c>
      <c r="G4" s="6">
        <f>E4*F4</f>
        <v>14100</v>
      </c>
    </row>
    <row r="5" spans="1:7" ht="15" thickBot="1" x14ac:dyDescent="0.35">
      <c r="A5" s="11"/>
      <c r="B5" s="12"/>
      <c r="C5" s="12"/>
      <c r="D5" s="12"/>
      <c r="E5" s="12"/>
      <c r="F5" s="12"/>
      <c r="G5" s="13"/>
    </row>
    <row r="6" spans="1:7" ht="15" thickBot="1" x14ac:dyDescent="0.35">
      <c r="A6" s="14" t="s">
        <v>12</v>
      </c>
      <c r="B6" s="15"/>
      <c r="C6" s="15"/>
      <c r="D6" s="15"/>
      <c r="E6" s="15"/>
      <c r="F6" s="15"/>
      <c r="G6" s="16"/>
    </row>
    <row r="7" spans="1:7" x14ac:dyDescent="0.3">
      <c r="A7" s="17" t="s">
        <v>2</v>
      </c>
      <c r="B7" s="18" t="s">
        <v>3</v>
      </c>
      <c r="C7" s="18" t="s">
        <v>14</v>
      </c>
      <c r="D7" s="18" t="s">
        <v>15</v>
      </c>
      <c r="E7" s="18" t="s">
        <v>16</v>
      </c>
      <c r="F7" s="18" t="s">
        <v>17</v>
      </c>
      <c r="G7" s="19" t="s">
        <v>7</v>
      </c>
    </row>
    <row r="8" spans="1:7" x14ac:dyDescent="0.3">
      <c r="A8" s="5">
        <v>1</v>
      </c>
      <c r="B8" s="2" t="s">
        <v>18</v>
      </c>
      <c r="C8" s="2">
        <v>2</v>
      </c>
      <c r="D8" s="3">
        <v>1500</v>
      </c>
      <c r="E8" s="2">
        <v>48</v>
      </c>
      <c r="F8" s="3">
        <v>400</v>
      </c>
      <c r="G8" s="6">
        <f>F8*E8+D8</f>
        <v>20700</v>
      </c>
    </row>
    <row r="9" spans="1:7" x14ac:dyDescent="0.3">
      <c r="A9" s="5">
        <v>2</v>
      </c>
      <c r="B9" s="2" t="s">
        <v>20</v>
      </c>
      <c r="C9" s="2">
        <v>2</v>
      </c>
      <c r="D9" s="3">
        <v>1500</v>
      </c>
      <c r="E9" s="2">
        <v>12</v>
      </c>
      <c r="F9" s="3">
        <v>500</v>
      </c>
      <c r="G9" s="6">
        <f>F9*E9+D9</f>
        <v>7500</v>
      </c>
    </row>
    <row r="10" spans="1:7" ht="15" thickBot="1" x14ac:dyDescent="0.35">
      <c r="A10" s="11"/>
      <c r="B10" s="12"/>
      <c r="C10" s="12"/>
      <c r="D10" s="12"/>
      <c r="E10" s="12"/>
      <c r="F10" s="12"/>
      <c r="G10" s="13"/>
    </row>
    <row r="11" spans="1:7" ht="15" thickBot="1" x14ac:dyDescent="0.35">
      <c r="A11" s="14" t="s">
        <v>19</v>
      </c>
      <c r="B11" s="15"/>
      <c r="C11" s="15"/>
      <c r="D11" s="15"/>
      <c r="E11" s="15"/>
      <c r="F11" s="15"/>
      <c r="G11" s="16"/>
    </row>
    <row r="12" spans="1:7" x14ac:dyDescent="0.3">
      <c r="A12" s="17" t="s">
        <v>2</v>
      </c>
      <c r="B12" s="18" t="s">
        <v>3</v>
      </c>
      <c r="C12" s="20" t="s">
        <v>9</v>
      </c>
      <c r="D12" s="20"/>
      <c r="E12" s="20"/>
      <c r="F12" s="18" t="s">
        <v>6</v>
      </c>
      <c r="G12" s="19" t="s">
        <v>7</v>
      </c>
    </row>
    <row r="13" spans="1:7" x14ac:dyDescent="0.3">
      <c r="A13" s="5">
        <v>1</v>
      </c>
      <c r="B13" s="2" t="s">
        <v>23</v>
      </c>
      <c r="C13" s="4" t="s">
        <v>9</v>
      </c>
      <c r="D13" s="4"/>
      <c r="E13" s="4"/>
      <c r="F13" s="3">
        <v>5000</v>
      </c>
      <c r="G13" s="6">
        <f>F13</f>
        <v>5000</v>
      </c>
    </row>
    <row r="14" spans="1:7" x14ac:dyDescent="0.3">
      <c r="A14" s="5">
        <v>2</v>
      </c>
      <c r="B14" s="2" t="s">
        <v>21</v>
      </c>
      <c r="C14" s="4" t="s">
        <v>9</v>
      </c>
      <c r="D14" s="4"/>
      <c r="E14" s="4"/>
      <c r="F14" s="3">
        <v>5000</v>
      </c>
      <c r="G14" s="6">
        <f t="shared" ref="G14:G15" si="0">F14</f>
        <v>5000</v>
      </c>
    </row>
    <row r="15" spans="1:7" x14ac:dyDescent="0.3">
      <c r="A15" s="5">
        <v>3</v>
      </c>
      <c r="B15" s="2" t="s">
        <v>22</v>
      </c>
      <c r="C15" s="4" t="s">
        <v>9</v>
      </c>
      <c r="D15" s="4"/>
      <c r="E15" s="4"/>
      <c r="F15" s="3">
        <v>3000</v>
      </c>
      <c r="G15" s="6">
        <f t="shared" si="0"/>
        <v>3000</v>
      </c>
    </row>
    <row r="16" spans="1:7" ht="15" thickBot="1" x14ac:dyDescent="0.35">
      <c r="A16" s="11"/>
      <c r="B16" s="12"/>
      <c r="C16" s="12"/>
      <c r="D16" s="12"/>
      <c r="E16" s="12"/>
      <c r="F16" s="12"/>
      <c r="G16" s="13"/>
    </row>
    <row r="17" spans="1:7" ht="15" thickBot="1" x14ac:dyDescent="0.35">
      <c r="A17" s="14" t="s">
        <v>24</v>
      </c>
      <c r="B17" s="15"/>
      <c r="C17" s="15"/>
      <c r="D17" s="15"/>
      <c r="E17" s="15"/>
      <c r="F17" s="15"/>
      <c r="G17" s="16"/>
    </row>
    <row r="18" spans="1:7" x14ac:dyDescent="0.3">
      <c r="A18" s="17" t="s">
        <v>2</v>
      </c>
      <c r="B18" s="18" t="s">
        <v>3</v>
      </c>
      <c r="C18" s="21" t="s">
        <v>27</v>
      </c>
      <c r="D18" s="21" t="s">
        <v>28</v>
      </c>
      <c r="E18" s="21" t="s">
        <v>29</v>
      </c>
      <c r="F18" s="18" t="s">
        <v>30</v>
      </c>
      <c r="G18" s="19" t="s">
        <v>7</v>
      </c>
    </row>
    <row r="19" spans="1:7" x14ac:dyDescent="0.3">
      <c r="A19" s="5">
        <v>1</v>
      </c>
      <c r="B19" s="2" t="s">
        <v>25</v>
      </c>
      <c r="C19" s="2">
        <v>1</v>
      </c>
      <c r="D19" s="3">
        <v>1000</v>
      </c>
      <c r="E19" s="2">
        <v>2</v>
      </c>
      <c r="F19" s="3">
        <v>1000</v>
      </c>
      <c r="G19" s="6">
        <f>F19*E19+D19</f>
        <v>3000</v>
      </c>
    </row>
    <row r="20" spans="1:7" x14ac:dyDescent="0.3">
      <c r="A20" s="5">
        <v>2</v>
      </c>
      <c r="B20" s="2" t="s">
        <v>26</v>
      </c>
      <c r="C20" s="2" t="s">
        <v>9</v>
      </c>
      <c r="D20" s="2" t="s">
        <v>9</v>
      </c>
      <c r="E20" s="2" t="s">
        <v>9</v>
      </c>
      <c r="F20" s="3">
        <v>500</v>
      </c>
      <c r="G20" s="6">
        <v>500</v>
      </c>
    </row>
    <row r="21" spans="1:7" ht="15" thickBot="1" x14ac:dyDescent="0.35">
      <c r="A21" s="11"/>
      <c r="B21" s="12"/>
      <c r="C21" s="12"/>
      <c r="D21" s="12"/>
      <c r="E21" s="12"/>
      <c r="F21" s="12"/>
      <c r="G21" s="13"/>
    </row>
    <row r="22" spans="1:7" ht="15" thickBot="1" x14ac:dyDescent="0.35">
      <c r="A22" s="14" t="s">
        <v>31</v>
      </c>
      <c r="B22" s="15"/>
      <c r="C22" s="15"/>
      <c r="D22" s="15"/>
      <c r="E22" s="15"/>
      <c r="F22" s="15"/>
      <c r="G22" s="16"/>
    </row>
    <row r="23" spans="1:7" x14ac:dyDescent="0.3">
      <c r="A23" s="17" t="s">
        <v>32</v>
      </c>
      <c r="B23" s="18" t="s">
        <v>3</v>
      </c>
      <c r="C23" s="20" t="s">
        <v>33</v>
      </c>
      <c r="D23" s="20"/>
      <c r="E23" s="20"/>
      <c r="F23" s="18" t="s">
        <v>6</v>
      </c>
      <c r="G23" s="19" t="s">
        <v>34</v>
      </c>
    </row>
    <row r="24" spans="1:7" x14ac:dyDescent="0.3">
      <c r="A24" s="5">
        <v>1</v>
      </c>
      <c r="B24" s="2" t="s">
        <v>35</v>
      </c>
      <c r="C24" s="4" t="s">
        <v>36</v>
      </c>
      <c r="D24" s="4"/>
      <c r="E24" s="4"/>
      <c r="F24" s="3">
        <v>3000</v>
      </c>
      <c r="G24" s="6">
        <v>3000</v>
      </c>
    </row>
    <row r="25" spans="1:7" x14ac:dyDescent="0.3">
      <c r="A25" s="5">
        <v>2</v>
      </c>
      <c r="B25" s="2" t="s">
        <v>37</v>
      </c>
      <c r="C25" s="4" t="s">
        <v>38</v>
      </c>
      <c r="D25" s="4"/>
      <c r="E25" s="4"/>
      <c r="F25" s="3">
        <v>3000</v>
      </c>
      <c r="G25" s="6">
        <v>3000</v>
      </c>
    </row>
    <row r="26" spans="1:7" ht="15" thickBot="1" x14ac:dyDescent="0.35">
      <c r="A26" s="11"/>
      <c r="B26" s="12"/>
      <c r="C26" s="12"/>
      <c r="D26" s="12"/>
      <c r="E26" s="12"/>
      <c r="F26" s="12"/>
      <c r="G26" s="13"/>
    </row>
    <row r="27" spans="1:7" ht="15" thickBot="1" x14ac:dyDescent="0.35">
      <c r="A27" s="14" t="s">
        <v>40</v>
      </c>
      <c r="B27" s="15"/>
      <c r="C27" s="15"/>
      <c r="D27" s="15"/>
      <c r="E27" s="15"/>
      <c r="F27" s="15"/>
      <c r="G27" s="16"/>
    </row>
    <row r="28" spans="1:7" x14ac:dyDescent="0.3">
      <c r="A28" s="17" t="s">
        <v>32</v>
      </c>
      <c r="B28" s="18" t="s">
        <v>3</v>
      </c>
      <c r="C28" s="20" t="s">
        <v>33</v>
      </c>
      <c r="D28" s="20"/>
      <c r="E28" s="20"/>
      <c r="F28" s="18" t="s">
        <v>6</v>
      </c>
      <c r="G28" s="19" t="s">
        <v>34</v>
      </c>
    </row>
    <row r="29" spans="1:7" x14ac:dyDescent="0.3">
      <c r="A29" s="5">
        <v>1</v>
      </c>
      <c r="B29" s="2"/>
      <c r="C29" s="2"/>
      <c r="D29" s="2"/>
      <c r="E29" s="2"/>
      <c r="F29" s="3">
        <v>0</v>
      </c>
      <c r="G29" s="6">
        <v>0</v>
      </c>
    </row>
    <row r="30" spans="1:7" x14ac:dyDescent="0.3">
      <c r="A30" s="7"/>
      <c r="B30" s="4"/>
      <c r="C30" s="4"/>
      <c r="D30" s="4"/>
      <c r="E30" s="4"/>
      <c r="F30" s="4"/>
      <c r="G30" s="6"/>
    </row>
    <row r="31" spans="1:7" ht="15" thickBot="1" x14ac:dyDescent="0.35">
      <c r="A31" s="26" t="s">
        <v>39</v>
      </c>
      <c r="B31" s="27"/>
      <c r="C31" s="27"/>
      <c r="D31" s="27"/>
      <c r="E31" s="27"/>
      <c r="F31" s="27"/>
      <c r="G31" s="28">
        <f>G4+G8+G9+G13+G14+G15+G19+G20+G24+G25+G29</f>
        <v>64800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</sheetData>
  <mergeCells count="22">
    <mergeCell ref="C23:E23"/>
    <mergeCell ref="C24:E24"/>
    <mergeCell ref="C25:E25"/>
    <mergeCell ref="A27:G27"/>
    <mergeCell ref="C28:E28"/>
    <mergeCell ref="A31:F31"/>
    <mergeCell ref="A26:G26"/>
    <mergeCell ref="A30:F30"/>
    <mergeCell ref="C13:E13"/>
    <mergeCell ref="C14:E14"/>
    <mergeCell ref="C15:E15"/>
    <mergeCell ref="A17:G17"/>
    <mergeCell ref="A22:G22"/>
    <mergeCell ref="A16:G16"/>
    <mergeCell ref="A21:G21"/>
    <mergeCell ref="A2:G2"/>
    <mergeCell ref="A1:G1"/>
    <mergeCell ref="A6:G6"/>
    <mergeCell ref="A11:G11"/>
    <mergeCell ref="C12:E12"/>
    <mergeCell ref="A5:G5"/>
    <mergeCell ref="A10:G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D823-1AD8-41EB-8A02-C11E3077B510}">
  <dimension ref="A1:G137"/>
  <sheetViews>
    <sheetView topLeftCell="A118" zoomScale="85" zoomScaleNormal="85" workbookViewId="0">
      <selection activeCell="A104" sqref="A104:G104"/>
    </sheetView>
  </sheetViews>
  <sheetFormatPr defaultRowHeight="14.4" x14ac:dyDescent="0.3"/>
  <cols>
    <col min="1" max="1" width="6.44140625" customWidth="1"/>
    <col min="2" max="2" width="22.77734375" bestFit="1" customWidth="1"/>
    <col min="3" max="3" width="21.5546875" customWidth="1"/>
    <col min="4" max="4" width="16.44140625" customWidth="1"/>
    <col min="5" max="5" width="17.44140625" customWidth="1"/>
    <col min="6" max="6" width="18" bestFit="1" customWidth="1"/>
    <col min="7" max="7" width="13.5546875" customWidth="1"/>
  </cols>
  <sheetData>
    <row r="1" spans="1:7" ht="15" thickBot="1" x14ac:dyDescent="0.35">
      <c r="A1" s="32" t="s">
        <v>41</v>
      </c>
      <c r="B1" s="33"/>
      <c r="C1" s="33"/>
      <c r="D1" s="33"/>
      <c r="E1" s="33"/>
      <c r="F1" s="33"/>
      <c r="G1" s="34"/>
    </row>
    <row r="2" spans="1:7" ht="15" thickBot="1" x14ac:dyDescent="0.35">
      <c r="A2" s="14" t="s">
        <v>13</v>
      </c>
      <c r="B2" s="15"/>
      <c r="C2" s="15"/>
      <c r="D2" s="15"/>
      <c r="E2" s="15"/>
      <c r="F2" s="15"/>
      <c r="G2" s="16"/>
    </row>
    <row r="3" spans="1:7" x14ac:dyDescent="0.3">
      <c r="A3" s="17" t="s">
        <v>2</v>
      </c>
      <c r="B3" s="18" t="s">
        <v>3</v>
      </c>
      <c r="C3" s="18" t="s">
        <v>4</v>
      </c>
      <c r="D3" s="18" t="s">
        <v>5</v>
      </c>
      <c r="E3" s="18" t="s">
        <v>10</v>
      </c>
      <c r="F3" s="18" t="s">
        <v>11</v>
      </c>
      <c r="G3" s="19" t="s">
        <v>7</v>
      </c>
    </row>
    <row r="4" spans="1:7" x14ac:dyDescent="0.3">
      <c r="A4" s="5">
        <v>1</v>
      </c>
      <c r="B4" s="2" t="s">
        <v>1</v>
      </c>
      <c r="C4" s="2" t="s">
        <v>42</v>
      </c>
      <c r="D4" s="2" t="s">
        <v>9</v>
      </c>
      <c r="E4" s="2">
        <v>4</v>
      </c>
      <c r="F4" s="3">
        <v>75</v>
      </c>
      <c r="G4" s="6">
        <f>E4*F4</f>
        <v>300</v>
      </c>
    </row>
    <row r="5" spans="1:7" ht="15" thickBot="1" x14ac:dyDescent="0.35">
      <c r="A5" s="11"/>
      <c r="B5" s="12"/>
      <c r="C5" s="12"/>
      <c r="D5" s="12"/>
      <c r="E5" s="12"/>
      <c r="F5" s="12"/>
      <c r="G5" s="13"/>
    </row>
    <row r="6" spans="1:7" ht="15" thickBot="1" x14ac:dyDescent="0.35">
      <c r="A6" s="14" t="s">
        <v>12</v>
      </c>
      <c r="B6" s="15"/>
      <c r="C6" s="15"/>
      <c r="D6" s="15"/>
      <c r="E6" s="15"/>
      <c r="F6" s="15"/>
      <c r="G6" s="16"/>
    </row>
    <row r="7" spans="1:7" x14ac:dyDescent="0.3">
      <c r="A7" s="17" t="s">
        <v>2</v>
      </c>
      <c r="B7" s="18" t="s">
        <v>3</v>
      </c>
      <c r="C7" s="18" t="s">
        <v>14</v>
      </c>
      <c r="D7" s="18" t="s">
        <v>15</v>
      </c>
      <c r="E7" s="18" t="s">
        <v>16</v>
      </c>
      <c r="F7" s="18" t="s">
        <v>17</v>
      </c>
      <c r="G7" s="19" t="s">
        <v>7</v>
      </c>
    </row>
    <row r="8" spans="1:7" x14ac:dyDescent="0.3">
      <c r="A8" s="5">
        <v>1</v>
      </c>
      <c r="B8" s="2" t="s">
        <v>18</v>
      </c>
      <c r="C8" s="2">
        <v>2</v>
      </c>
      <c r="D8" s="3">
        <v>1500</v>
      </c>
      <c r="E8" s="2">
        <v>10</v>
      </c>
      <c r="F8" s="3">
        <v>400</v>
      </c>
      <c r="G8" s="6">
        <f>F8*E8+D8</f>
        <v>5500</v>
      </c>
    </row>
    <row r="9" spans="1:7" x14ac:dyDescent="0.3">
      <c r="A9" s="5">
        <v>2</v>
      </c>
      <c r="B9" s="2" t="s">
        <v>43</v>
      </c>
      <c r="C9" s="2">
        <v>2</v>
      </c>
      <c r="D9" s="3">
        <v>1500</v>
      </c>
      <c r="E9" s="2">
        <v>4</v>
      </c>
      <c r="F9" s="3">
        <v>400</v>
      </c>
      <c r="G9" s="6">
        <f>F9*E9+D9</f>
        <v>3100</v>
      </c>
    </row>
    <row r="10" spans="1:7" x14ac:dyDescent="0.3">
      <c r="A10" s="22">
        <v>3</v>
      </c>
      <c r="B10" s="23" t="s">
        <v>20</v>
      </c>
      <c r="C10" s="23">
        <v>1</v>
      </c>
      <c r="D10" s="24">
        <v>750</v>
      </c>
      <c r="E10" s="23">
        <v>3</v>
      </c>
      <c r="F10" s="24">
        <v>500</v>
      </c>
      <c r="G10" s="6">
        <f>F10*E10+D10</f>
        <v>2250</v>
      </c>
    </row>
    <row r="11" spans="1:7" ht="15" thickBot="1" x14ac:dyDescent="0.35">
      <c r="A11" s="11"/>
      <c r="B11" s="12"/>
      <c r="C11" s="12"/>
      <c r="D11" s="12"/>
      <c r="E11" s="12"/>
      <c r="F11" s="12"/>
      <c r="G11" s="13"/>
    </row>
    <row r="12" spans="1:7" ht="15" thickBot="1" x14ac:dyDescent="0.35">
      <c r="A12" s="14" t="s">
        <v>19</v>
      </c>
      <c r="B12" s="15"/>
      <c r="C12" s="15"/>
      <c r="D12" s="15"/>
      <c r="E12" s="15"/>
      <c r="F12" s="15"/>
      <c r="G12" s="16"/>
    </row>
    <row r="13" spans="1:7" x14ac:dyDescent="0.3">
      <c r="A13" s="17" t="s">
        <v>2</v>
      </c>
      <c r="B13" s="18" t="s">
        <v>3</v>
      </c>
      <c r="C13" s="20" t="s">
        <v>9</v>
      </c>
      <c r="D13" s="20"/>
      <c r="E13" s="20"/>
      <c r="F13" s="18" t="s">
        <v>6</v>
      </c>
      <c r="G13" s="19" t="s">
        <v>7</v>
      </c>
    </row>
    <row r="14" spans="1:7" x14ac:dyDescent="0.3">
      <c r="A14" s="5">
        <v>1</v>
      </c>
      <c r="B14" s="2" t="s">
        <v>44</v>
      </c>
      <c r="C14" s="4" t="s">
        <v>9</v>
      </c>
      <c r="D14" s="4"/>
      <c r="E14" s="4"/>
      <c r="F14" s="3">
        <v>2000</v>
      </c>
      <c r="G14" s="6">
        <f>F14</f>
        <v>2000</v>
      </c>
    </row>
    <row r="15" spans="1:7" x14ac:dyDescent="0.3">
      <c r="A15" s="5">
        <v>2</v>
      </c>
      <c r="B15" s="2" t="s">
        <v>21</v>
      </c>
      <c r="C15" s="4" t="s">
        <v>9</v>
      </c>
      <c r="D15" s="4"/>
      <c r="E15" s="4"/>
      <c r="F15" s="3">
        <v>1000</v>
      </c>
      <c r="G15" s="6">
        <f t="shared" ref="G15:G16" si="0">F15</f>
        <v>1000</v>
      </c>
    </row>
    <row r="16" spans="1:7" x14ac:dyDescent="0.3">
      <c r="A16" s="5">
        <v>3</v>
      </c>
      <c r="B16" s="2" t="s">
        <v>22</v>
      </c>
      <c r="C16" s="4" t="s">
        <v>9</v>
      </c>
      <c r="D16" s="4"/>
      <c r="E16" s="4"/>
      <c r="F16" s="3">
        <v>1000</v>
      </c>
      <c r="G16" s="6">
        <f t="shared" si="0"/>
        <v>1000</v>
      </c>
    </row>
    <row r="17" spans="1:7" ht="15" thickBot="1" x14ac:dyDescent="0.35">
      <c r="A17" s="11"/>
      <c r="B17" s="12"/>
      <c r="C17" s="12"/>
      <c r="D17" s="12"/>
      <c r="E17" s="12"/>
      <c r="F17" s="12"/>
      <c r="G17" s="13"/>
    </row>
    <row r="18" spans="1:7" ht="15" thickBot="1" x14ac:dyDescent="0.35">
      <c r="A18" s="14" t="s">
        <v>24</v>
      </c>
      <c r="B18" s="15"/>
      <c r="C18" s="15"/>
      <c r="D18" s="15"/>
      <c r="E18" s="15"/>
      <c r="F18" s="15"/>
      <c r="G18" s="16"/>
    </row>
    <row r="19" spans="1:7" x14ac:dyDescent="0.3">
      <c r="A19" s="17" t="s">
        <v>2</v>
      </c>
      <c r="B19" s="18" t="s">
        <v>3</v>
      </c>
      <c r="C19" s="21" t="s">
        <v>27</v>
      </c>
      <c r="D19" s="21" t="s">
        <v>28</v>
      </c>
      <c r="E19" s="21" t="s">
        <v>29</v>
      </c>
      <c r="F19" s="18" t="s">
        <v>30</v>
      </c>
      <c r="G19" s="19" t="s">
        <v>7</v>
      </c>
    </row>
    <row r="20" spans="1:7" x14ac:dyDescent="0.3">
      <c r="A20" s="5">
        <v>1</v>
      </c>
      <c r="B20" s="2" t="s">
        <v>25</v>
      </c>
      <c r="C20" s="2">
        <v>1</v>
      </c>
      <c r="D20" s="3">
        <v>1000</v>
      </c>
      <c r="E20" s="2">
        <v>2</v>
      </c>
      <c r="F20" s="3">
        <v>1000</v>
      </c>
      <c r="G20" s="6">
        <f>F20*E20+D20</f>
        <v>3000</v>
      </c>
    </row>
    <row r="21" spans="1:7" x14ac:dyDescent="0.3">
      <c r="A21" s="5">
        <v>2</v>
      </c>
      <c r="B21" s="2" t="s">
        <v>26</v>
      </c>
      <c r="C21" s="2" t="s">
        <v>9</v>
      </c>
      <c r="D21" s="2" t="s">
        <v>9</v>
      </c>
      <c r="E21" s="2" t="s">
        <v>9</v>
      </c>
      <c r="F21" s="3">
        <v>500</v>
      </c>
      <c r="G21" s="6">
        <v>500</v>
      </c>
    </row>
    <row r="22" spans="1:7" ht="15" thickBot="1" x14ac:dyDescent="0.35">
      <c r="A22" s="11"/>
      <c r="B22" s="12"/>
      <c r="C22" s="12"/>
      <c r="D22" s="12"/>
      <c r="E22" s="12"/>
      <c r="F22" s="12"/>
      <c r="G22" s="13"/>
    </row>
    <row r="23" spans="1:7" ht="15" thickBot="1" x14ac:dyDescent="0.35">
      <c r="A23" s="14" t="s">
        <v>31</v>
      </c>
      <c r="B23" s="15"/>
      <c r="C23" s="15"/>
      <c r="D23" s="15"/>
      <c r="E23" s="15"/>
      <c r="F23" s="15"/>
      <c r="G23" s="16"/>
    </row>
    <row r="24" spans="1:7" x14ac:dyDescent="0.3">
      <c r="A24" s="17" t="s">
        <v>32</v>
      </c>
      <c r="B24" s="18" t="s">
        <v>3</v>
      </c>
      <c r="C24" s="20" t="s">
        <v>33</v>
      </c>
      <c r="D24" s="20"/>
      <c r="E24" s="20"/>
      <c r="F24" s="18" t="s">
        <v>6</v>
      </c>
      <c r="G24" s="19" t="s">
        <v>34</v>
      </c>
    </row>
    <row r="25" spans="1:7" x14ac:dyDescent="0.3">
      <c r="A25" s="5">
        <v>1</v>
      </c>
      <c r="B25" s="2" t="s">
        <v>35</v>
      </c>
      <c r="C25" s="4" t="s">
        <v>36</v>
      </c>
      <c r="D25" s="4"/>
      <c r="E25" s="4"/>
      <c r="F25" s="3">
        <v>500</v>
      </c>
      <c r="G25" s="6">
        <v>500</v>
      </c>
    </row>
    <row r="26" spans="1:7" x14ac:dyDescent="0.3">
      <c r="A26" s="5">
        <v>2</v>
      </c>
      <c r="B26" s="2" t="s">
        <v>37</v>
      </c>
      <c r="C26" s="4" t="s">
        <v>9</v>
      </c>
      <c r="D26" s="4"/>
      <c r="E26" s="4"/>
      <c r="F26" s="3">
        <v>500</v>
      </c>
      <c r="G26" s="6">
        <v>500</v>
      </c>
    </row>
    <row r="27" spans="1:7" ht="15" thickBot="1" x14ac:dyDescent="0.35">
      <c r="A27" s="11"/>
      <c r="B27" s="12"/>
      <c r="C27" s="12"/>
      <c r="D27" s="12"/>
      <c r="E27" s="12"/>
      <c r="F27" s="12"/>
      <c r="G27" s="13"/>
    </row>
    <row r="28" spans="1:7" ht="15" thickBot="1" x14ac:dyDescent="0.35">
      <c r="A28" s="14" t="s">
        <v>40</v>
      </c>
      <c r="B28" s="15"/>
      <c r="C28" s="15"/>
      <c r="D28" s="15"/>
      <c r="E28" s="15"/>
      <c r="F28" s="15"/>
      <c r="G28" s="16"/>
    </row>
    <row r="29" spans="1:7" x14ac:dyDescent="0.3">
      <c r="A29" s="17" t="s">
        <v>32</v>
      </c>
      <c r="B29" s="18" t="s">
        <v>3</v>
      </c>
      <c r="C29" s="20" t="s">
        <v>33</v>
      </c>
      <c r="D29" s="20"/>
      <c r="E29" s="20"/>
      <c r="F29" s="18" t="s">
        <v>6</v>
      </c>
      <c r="G29" s="19" t="s">
        <v>34</v>
      </c>
    </row>
    <row r="30" spans="1:7" x14ac:dyDescent="0.3">
      <c r="A30" s="5">
        <v>1</v>
      </c>
      <c r="B30" s="2" t="s">
        <v>47</v>
      </c>
      <c r="C30" s="2"/>
      <c r="D30" s="2"/>
      <c r="E30" s="2"/>
      <c r="F30" s="3">
        <v>1500</v>
      </c>
      <c r="G30" s="6">
        <v>1500</v>
      </c>
    </row>
    <row r="31" spans="1:7" x14ac:dyDescent="0.3">
      <c r="A31" s="7"/>
      <c r="B31" s="4"/>
      <c r="C31" s="4"/>
      <c r="D31" s="4"/>
      <c r="E31" s="4"/>
      <c r="F31" s="4"/>
      <c r="G31" s="6"/>
    </row>
    <row r="32" spans="1:7" ht="15" thickBot="1" x14ac:dyDescent="0.35">
      <c r="A32" s="26" t="s">
        <v>39</v>
      </c>
      <c r="B32" s="27"/>
      <c r="C32" s="27"/>
      <c r="D32" s="27"/>
      <c r="E32" s="27"/>
      <c r="F32" s="27"/>
      <c r="G32" s="28">
        <f>G4+G8+G9+G14+G15+G16+G20+G21+G25+G26+G30+G10</f>
        <v>21150</v>
      </c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ht="15" thickBot="1" x14ac:dyDescent="0.35">
      <c r="A35" s="1"/>
      <c r="B35" s="1"/>
      <c r="C35" s="1"/>
      <c r="D35" s="1"/>
      <c r="E35" s="1"/>
      <c r="F35" s="1"/>
      <c r="G35" s="1"/>
    </row>
    <row r="36" spans="1:7" ht="15" thickBot="1" x14ac:dyDescent="0.35">
      <c r="A36" s="8" t="s">
        <v>45</v>
      </c>
      <c r="B36" s="9"/>
      <c r="C36" s="9"/>
      <c r="D36" s="9"/>
      <c r="E36" s="9"/>
      <c r="F36" s="9"/>
      <c r="G36" s="10"/>
    </row>
    <row r="37" spans="1:7" ht="15" thickBot="1" x14ac:dyDescent="0.35">
      <c r="A37" s="14" t="s">
        <v>13</v>
      </c>
      <c r="B37" s="15"/>
      <c r="C37" s="15"/>
      <c r="D37" s="15"/>
      <c r="E37" s="15"/>
      <c r="F37" s="15"/>
      <c r="G37" s="16"/>
    </row>
    <row r="38" spans="1:7" x14ac:dyDescent="0.3">
      <c r="A38" s="17" t="s">
        <v>2</v>
      </c>
      <c r="B38" s="18" t="s">
        <v>3</v>
      </c>
      <c r="C38" s="18" t="s">
        <v>4</v>
      </c>
      <c r="D38" s="18" t="s">
        <v>5</v>
      </c>
      <c r="E38" s="18" t="s">
        <v>10</v>
      </c>
      <c r="F38" s="18" t="s">
        <v>11</v>
      </c>
      <c r="G38" s="19" t="s">
        <v>7</v>
      </c>
    </row>
    <row r="39" spans="1:7" x14ac:dyDescent="0.3">
      <c r="A39" s="5">
        <v>1</v>
      </c>
      <c r="B39" s="2" t="s">
        <v>1</v>
      </c>
      <c r="C39" s="2" t="s">
        <v>46</v>
      </c>
      <c r="D39" s="2" t="s">
        <v>9</v>
      </c>
      <c r="E39" s="2">
        <v>8</v>
      </c>
      <c r="F39" s="3">
        <v>75</v>
      </c>
      <c r="G39" s="6">
        <f>E39*F39</f>
        <v>600</v>
      </c>
    </row>
    <row r="40" spans="1:7" ht="15" thickBot="1" x14ac:dyDescent="0.35">
      <c r="A40" s="11"/>
      <c r="B40" s="12"/>
      <c r="C40" s="12"/>
      <c r="D40" s="12"/>
      <c r="E40" s="12"/>
      <c r="F40" s="12"/>
      <c r="G40" s="13"/>
    </row>
    <row r="41" spans="1:7" ht="15" thickBot="1" x14ac:dyDescent="0.35">
      <c r="A41" s="14" t="s">
        <v>12</v>
      </c>
      <c r="B41" s="15"/>
      <c r="C41" s="15"/>
      <c r="D41" s="15"/>
      <c r="E41" s="15"/>
      <c r="F41" s="15"/>
      <c r="G41" s="16"/>
    </row>
    <row r="42" spans="1:7" x14ac:dyDescent="0.3">
      <c r="A42" s="17" t="s">
        <v>2</v>
      </c>
      <c r="B42" s="18" t="s">
        <v>3</v>
      </c>
      <c r="C42" s="18" t="s">
        <v>14</v>
      </c>
      <c r="D42" s="18" t="s">
        <v>15</v>
      </c>
      <c r="E42" s="18" t="s">
        <v>16</v>
      </c>
      <c r="F42" s="18" t="s">
        <v>17</v>
      </c>
      <c r="G42" s="19" t="s">
        <v>7</v>
      </c>
    </row>
    <row r="43" spans="1:7" x14ac:dyDescent="0.3">
      <c r="A43" s="5">
        <v>1</v>
      </c>
      <c r="B43" s="2" t="s">
        <v>18</v>
      </c>
      <c r="C43" s="2">
        <v>2</v>
      </c>
      <c r="D43" s="3">
        <v>1500</v>
      </c>
      <c r="E43" s="2">
        <v>10</v>
      </c>
      <c r="F43" s="3">
        <v>400</v>
      </c>
      <c r="G43" s="6">
        <f>F43*E43+D43</f>
        <v>5500</v>
      </c>
    </row>
    <row r="44" spans="1:7" x14ac:dyDescent="0.3">
      <c r="A44" s="22">
        <v>2</v>
      </c>
      <c r="B44" s="23" t="s">
        <v>20</v>
      </c>
      <c r="C44" s="23">
        <v>2</v>
      </c>
      <c r="D44" s="24">
        <v>750</v>
      </c>
      <c r="E44" s="23">
        <v>3</v>
      </c>
      <c r="F44" s="24">
        <v>500</v>
      </c>
      <c r="G44" s="6">
        <f>F44*E44+D44</f>
        <v>2250</v>
      </c>
    </row>
    <row r="45" spans="1:7" ht="15" thickBot="1" x14ac:dyDescent="0.35">
      <c r="A45" s="11"/>
      <c r="B45" s="12"/>
      <c r="C45" s="12"/>
      <c r="D45" s="12"/>
      <c r="E45" s="12"/>
      <c r="F45" s="12"/>
      <c r="G45" s="13"/>
    </row>
    <row r="46" spans="1:7" ht="15" thickBot="1" x14ac:dyDescent="0.35">
      <c r="A46" s="14" t="s">
        <v>19</v>
      </c>
      <c r="B46" s="15"/>
      <c r="C46" s="15"/>
      <c r="D46" s="15"/>
      <c r="E46" s="15"/>
      <c r="F46" s="15"/>
      <c r="G46" s="16"/>
    </row>
    <row r="47" spans="1:7" x14ac:dyDescent="0.3">
      <c r="A47" s="17" t="s">
        <v>2</v>
      </c>
      <c r="B47" s="18" t="s">
        <v>3</v>
      </c>
      <c r="C47" s="20" t="s">
        <v>9</v>
      </c>
      <c r="D47" s="20"/>
      <c r="E47" s="20"/>
      <c r="F47" s="18" t="s">
        <v>6</v>
      </c>
      <c r="G47" s="19" t="s">
        <v>7</v>
      </c>
    </row>
    <row r="48" spans="1:7" x14ac:dyDescent="0.3">
      <c r="A48" s="5">
        <v>1</v>
      </c>
      <c r="B48" s="2" t="s">
        <v>48</v>
      </c>
      <c r="C48" s="4" t="s">
        <v>9</v>
      </c>
      <c r="D48" s="4"/>
      <c r="E48" s="4"/>
      <c r="F48" s="3">
        <v>2000</v>
      </c>
      <c r="G48" s="6">
        <f>F48</f>
        <v>2000</v>
      </c>
    </row>
    <row r="49" spans="1:7" x14ac:dyDescent="0.3">
      <c r="A49" s="5">
        <v>2</v>
      </c>
      <c r="B49" s="2" t="s">
        <v>21</v>
      </c>
      <c r="C49" s="4" t="s">
        <v>9</v>
      </c>
      <c r="D49" s="4"/>
      <c r="E49" s="4"/>
      <c r="F49" s="3">
        <v>1000</v>
      </c>
      <c r="G49" s="6">
        <f t="shared" ref="G49:G50" si="1">F49</f>
        <v>1000</v>
      </c>
    </row>
    <row r="50" spans="1:7" x14ac:dyDescent="0.3">
      <c r="A50" s="5">
        <v>3</v>
      </c>
      <c r="B50" s="2" t="s">
        <v>22</v>
      </c>
      <c r="C50" s="4" t="s">
        <v>9</v>
      </c>
      <c r="D50" s="4"/>
      <c r="E50" s="4"/>
      <c r="F50" s="3">
        <v>1000</v>
      </c>
      <c r="G50" s="6">
        <f t="shared" si="1"/>
        <v>1000</v>
      </c>
    </row>
    <row r="51" spans="1:7" ht="15" thickBot="1" x14ac:dyDescent="0.35">
      <c r="A51" s="11"/>
      <c r="B51" s="12"/>
      <c r="C51" s="12"/>
      <c r="D51" s="12"/>
      <c r="E51" s="12"/>
      <c r="F51" s="12"/>
      <c r="G51" s="13"/>
    </row>
    <row r="52" spans="1:7" ht="15" thickBot="1" x14ac:dyDescent="0.35">
      <c r="A52" s="14" t="s">
        <v>24</v>
      </c>
      <c r="B52" s="15"/>
      <c r="C52" s="15"/>
      <c r="D52" s="15"/>
      <c r="E52" s="15"/>
      <c r="F52" s="15"/>
      <c r="G52" s="16"/>
    </row>
    <row r="53" spans="1:7" x14ac:dyDescent="0.3">
      <c r="A53" s="17" t="s">
        <v>2</v>
      </c>
      <c r="B53" s="18" t="s">
        <v>3</v>
      </c>
      <c r="C53" s="21" t="s">
        <v>27</v>
      </c>
      <c r="D53" s="21" t="s">
        <v>28</v>
      </c>
      <c r="E53" s="21" t="s">
        <v>29</v>
      </c>
      <c r="F53" s="18" t="s">
        <v>30</v>
      </c>
      <c r="G53" s="19" t="s">
        <v>7</v>
      </c>
    </row>
    <row r="54" spans="1:7" x14ac:dyDescent="0.3">
      <c r="A54" s="5">
        <v>1</v>
      </c>
      <c r="B54" s="2" t="s">
        <v>25</v>
      </c>
      <c r="C54" s="2">
        <v>1</v>
      </c>
      <c r="D54" s="3">
        <v>1000</v>
      </c>
      <c r="E54" s="2">
        <v>2</v>
      </c>
      <c r="F54" s="3">
        <v>1000</v>
      </c>
      <c r="G54" s="6">
        <f>F54*E54+D54</f>
        <v>3000</v>
      </c>
    </row>
    <row r="55" spans="1:7" x14ac:dyDescent="0.3">
      <c r="A55" s="5">
        <v>2</v>
      </c>
      <c r="B55" s="2" t="s">
        <v>26</v>
      </c>
      <c r="C55" s="2" t="s">
        <v>9</v>
      </c>
      <c r="D55" s="2" t="s">
        <v>9</v>
      </c>
      <c r="E55" s="2" t="s">
        <v>9</v>
      </c>
      <c r="F55" s="3">
        <v>500</v>
      </c>
      <c r="G55" s="6">
        <v>500</v>
      </c>
    </row>
    <row r="56" spans="1:7" ht="15" thickBot="1" x14ac:dyDescent="0.35">
      <c r="A56" s="11"/>
      <c r="B56" s="12"/>
      <c r="C56" s="12"/>
      <c r="D56" s="12"/>
      <c r="E56" s="12"/>
      <c r="F56" s="12"/>
      <c r="G56" s="13"/>
    </row>
    <row r="57" spans="1:7" ht="15" thickBot="1" x14ac:dyDescent="0.35">
      <c r="A57" s="14" t="s">
        <v>31</v>
      </c>
      <c r="B57" s="15"/>
      <c r="C57" s="15"/>
      <c r="D57" s="15"/>
      <c r="E57" s="15"/>
      <c r="F57" s="15"/>
      <c r="G57" s="16"/>
    </row>
    <row r="58" spans="1:7" x14ac:dyDescent="0.3">
      <c r="A58" s="17" t="s">
        <v>32</v>
      </c>
      <c r="B58" s="18" t="s">
        <v>3</v>
      </c>
      <c r="C58" s="20" t="s">
        <v>33</v>
      </c>
      <c r="D58" s="20"/>
      <c r="E58" s="20"/>
      <c r="F58" s="18" t="s">
        <v>6</v>
      </c>
      <c r="G58" s="19" t="s">
        <v>34</v>
      </c>
    </row>
    <row r="59" spans="1:7" x14ac:dyDescent="0.3">
      <c r="A59" s="5">
        <v>1</v>
      </c>
      <c r="B59" s="2" t="s">
        <v>35</v>
      </c>
      <c r="C59" s="4" t="s">
        <v>36</v>
      </c>
      <c r="D59" s="4"/>
      <c r="E59" s="4"/>
      <c r="F59" s="3">
        <v>500</v>
      </c>
      <c r="G59" s="6">
        <v>500</v>
      </c>
    </row>
    <row r="60" spans="1:7" x14ac:dyDescent="0.3">
      <c r="A60" s="5">
        <v>2</v>
      </c>
      <c r="B60" s="2" t="s">
        <v>37</v>
      </c>
      <c r="C60" s="4" t="s">
        <v>9</v>
      </c>
      <c r="D60" s="4"/>
      <c r="E60" s="4"/>
      <c r="F60" s="3">
        <v>500</v>
      </c>
      <c r="G60" s="6">
        <v>500</v>
      </c>
    </row>
    <row r="61" spans="1:7" ht="15" thickBot="1" x14ac:dyDescent="0.35">
      <c r="A61" s="11"/>
      <c r="B61" s="12"/>
      <c r="C61" s="12"/>
      <c r="D61" s="12"/>
      <c r="E61" s="12"/>
      <c r="F61" s="12"/>
      <c r="G61" s="13"/>
    </row>
    <row r="62" spans="1:7" ht="15" thickBot="1" x14ac:dyDescent="0.35">
      <c r="A62" s="14" t="s">
        <v>40</v>
      </c>
      <c r="B62" s="15"/>
      <c r="C62" s="15"/>
      <c r="D62" s="15"/>
      <c r="E62" s="15"/>
      <c r="F62" s="15"/>
      <c r="G62" s="16"/>
    </row>
    <row r="63" spans="1:7" x14ac:dyDescent="0.3">
      <c r="A63" s="17" t="s">
        <v>32</v>
      </c>
      <c r="B63" s="18" t="s">
        <v>3</v>
      </c>
      <c r="C63" s="20" t="s">
        <v>33</v>
      </c>
      <c r="D63" s="20"/>
      <c r="E63" s="20"/>
      <c r="F63" s="18" t="s">
        <v>6</v>
      </c>
      <c r="G63" s="19" t="s">
        <v>34</v>
      </c>
    </row>
    <row r="64" spans="1:7" x14ac:dyDescent="0.3">
      <c r="A64" s="5">
        <v>1</v>
      </c>
      <c r="B64" s="2"/>
      <c r="C64" s="2"/>
      <c r="D64" s="2"/>
      <c r="E64" s="2"/>
      <c r="F64" s="3">
        <v>0</v>
      </c>
      <c r="G64" s="6">
        <v>0</v>
      </c>
    </row>
    <row r="65" spans="1:7" x14ac:dyDescent="0.3">
      <c r="A65" s="7"/>
      <c r="B65" s="4"/>
      <c r="C65" s="4"/>
      <c r="D65" s="4"/>
      <c r="E65" s="4"/>
      <c r="F65" s="4"/>
      <c r="G65" s="6"/>
    </row>
    <row r="66" spans="1:7" ht="15" thickBot="1" x14ac:dyDescent="0.35">
      <c r="A66" s="26" t="s">
        <v>39</v>
      </c>
      <c r="B66" s="27"/>
      <c r="C66" s="27"/>
      <c r="D66" s="27"/>
      <c r="E66" s="27"/>
      <c r="F66" s="27"/>
      <c r="G66" s="28">
        <f>G39+G43+G48+G49+G50+G54+G55+G59+G60+G64+G44</f>
        <v>16850</v>
      </c>
    </row>
    <row r="69" spans="1:7" ht="15" thickBot="1" x14ac:dyDescent="0.35"/>
    <row r="70" spans="1:7" ht="15" thickBot="1" x14ac:dyDescent="0.35">
      <c r="A70" s="8" t="s">
        <v>49</v>
      </c>
      <c r="B70" s="9"/>
      <c r="C70" s="9"/>
      <c r="D70" s="9"/>
      <c r="E70" s="9"/>
      <c r="F70" s="9"/>
      <c r="G70" s="10"/>
    </row>
    <row r="71" spans="1:7" ht="15" thickBot="1" x14ac:dyDescent="0.35">
      <c r="A71" s="14" t="s">
        <v>13</v>
      </c>
      <c r="B71" s="15"/>
      <c r="C71" s="15"/>
      <c r="D71" s="15"/>
      <c r="E71" s="15"/>
      <c r="F71" s="15"/>
      <c r="G71" s="16"/>
    </row>
    <row r="72" spans="1:7" x14ac:dyDescent="0.3">
      <c r="A72" s="17" t="s">
        <v>2</v>
      </c>
      <c r="B72" s="18" t="s">
        <v>3</v>
      </c>
      <c r="C72" s="18" t="s">
        <v>4</v>
      </c>
      <c r="D72" s="18" t="s">
        <v>5</v>
      </c>
      <c r="E72" s="18" t="s">
        <v>10</v>
      </c>
      <c r="F72" s="18" t="s">
        <v>11</v>
      </c>
      <c r="G72" s="19" t="s">
        <v>7</v>
      </c>
    </row>
    <row r="73" spans="1:7" x14ac:dyDescent="0.3">
      <c r="A73" s="5">
        <v>1</v>
      </c>
      <c r="B73" s="2" t="s">
        <v>1</v>
      </c>
      <c r="C73" s="2" t="s">
        <v>50</v>
      </c>
      <c r="D73" s="2" t="s">
        <v>9</v>
      </c>
      <c r="E73" s="2">
        <v>12</v>
      </c>
      <c r="F73" s="3">
        <v>75</v>
      </c>
      <c r="G73" s="6">
        <f>E73*F73</f>
        <v>900</v>
      </c>
    </row>
    <row r="74" spans="1:7" ht="15" thickBot="1" x14ac:dyDescent="0.35">
      <c r="A74" s="11"/>
      <c r="B74" s="12"/>
      <c r="C74" s="12"/>
      <c r="D74" s="12"/>
      <c r="E74" s="12"/>
      <c r="F74" s="12"/>
      <c r="G74" s="13"/>
    </row>
    <row r="75" spans="1:7" ht="15" thickBot="1" x14ac:dyDescent="0.35">
      <c r="A75" s="14" t="s">
        <v>12</v>
      </c>
      <c r="B75" s="15"/>
      <c r="C75" s="15"/>
      <c r="D75" s="15"/>
      <c r="E75" s="15"/>
      <c r="F75" s="15"/>
      <c r="G75" s="16"/>
    </row>
    <row r="76" spans="1:7" x14ac:dyDescent="0.3">
      <c r="A76" s="17" t="s">
        <v>2</v>
      </c>
      <c r="B76" s="18" t="s">
        <v>3</v>
      </c>
      <c r="C76" s="18" t="s">
        <v>14</v>
      </c>
      <c r="D76" s="18" t="s">
        <v>15</v>
      </c>
      <c r="E76" s="18" t="s">
        <v>16</v>
      </c>
      <c r="F76" s="18" t="s">
        <v>17</v>
      </c>
      <c r="G76" s="19" t="s">
        <v>7</v>
      </c>
    </row>
    <row r="77" spans="1:7" x14ac:dyDescent="0.3">
      <c r="A77" s="5">
        <v>1</v>
      </c>
      <c r="B77" s="2" t="s">
        <v>18</v>
      </c>
      <c r="C77" s="2">
        <v>2</v>
      </c>
      <c r="D77" s="3">
        <v>1500</v>
      </c>
      <c r="E77" s="2">
        <v>5</v>
      </c>
      <c r="F77" s="3">
        <v>400</v>
      </c>
      <c r="G77" s="6">
        <f>F77*E77+D77</f>
        <v>3500</v>
      </c>
    </row>
    <row r="78" spans="1:7" x14ac:dyDescent="0.3">
      <c r="A78" s="22">
        <v>2</v>
      </c>
      <c r="B78" s="23" t="s">
        <v>20</v>
      </c>
      <c r="C78" s="23">
        <v>1</v>
      </c>
      <c r="D78" s="24">
        <v>375</v>
      </c>
      <c r="E78" s="23">
        <v>2</v>
      </c>
      <c r="F78" s="24">
        <v>500</v>
      </c>
      <c r="G78" s="6">
        <f>F78*E78+D78</f>
        <v>1375</v>
      </c>
    </row>
    <row r="79" spans="1:7" x14ac:dyDescent="0.3">
      <c r="A79" s="22">
        <v>3</v>
      </c>
      <c r="B79" s="23" t="s">
        <v>51</v>
      </c>
      <c r="C79" s="23">
        <v>1</v>
      </c>
      <c r="D79" s="24">
        <v>750</v>
      </c>
      <c r="E79" s="23">
        <v>3</v>
      </c>
      <c r="F79" s="24">
        <v>400</v>
      </c>
      <c r="G79" s="25">
        <f>F79*E79+D79</f>
        <v>1950</v>
      </c>
    </row>
    <row r="80" spans="1:7" ht="15" thickBot="1" x14ac:dyDescent="0.35">
      <c r="A80" s="11"/>
      <c r="B80" s="12"/>
      <c r="C80" s="12"/>
      <c r="D80" s="12"/>
      <c r="E80" s="12"/>
      <c r="F80" s="12"/>
      <c r="G80" s="13"/>
    </row>
    <row r="81" spans="1:7" ht="15" thickBot="1" x14ac:dyDescent="0.35">
      <c r="A81" s="14" t="s">
        <v>19</v>
      </c>
      <c r="B81" s="15"/>
      <c r="C81" s="15"/>
      <c r="D81" s="15"/>
      <c r="E81" s="15"/>
      <c r="F81" s="15"/>
      <c r="G81" s="16"/>
    </row>
    <row r="82" spans="1:7" x14ac:dyDescent="0.3">
      <c r="A82" s="17" t="s">
        <v>2</v>
      </c>
      <c r="B82" s="18" t="s">
        <v>3</v>
      </c>
      <c r="C82" s="20" t="s">
        <v>9</v>
      </c>
      <c r="D82" s="20"/>
      <c r="E82" s="20"/>
      <c r="F82" s="18" t="s">
        <v>6</v>
      </c>
      <c r="G82" s="19" t="s">
        <v>7</v>
      </c>
    </row>
    <row r="83" spans="1:7" x14ac:dyDescent="0.3">
      <c r="A83" s="5">
        <v>1</v>
      </c>
      <c r="B83" s="2" t="s">
        <v>52</v>
      </c>
      <c r="C83" s="4" t="s">
        <v>9</v>
      </c>
      <c r="D83" s="4"/>
      <c r="E83" s="4"/>
      <c r="F83" s="3">
        <v>2000</v>
      </c>
      <c r="G83" s="6">
        <f>F83</f>
        <v>2000</v>
      </c>
    </row>
    <row r="84" spans="1:7" x14ac:dyDescent="0.3">
      <c r="A84" s="5">
        <v>2</v>
      </c>
      <c r="B84" s="2" t="s">
        <v>21</v>
      </c>
      <c r="C84" s="4" t="s">
        <v>9</v>
      </c>
      <c r="D84" s="4"/>
      <c r="E84" s="4"/>
      <c r="F84" s="3">
        <v>1000</v>
      </c>
      <c r="G84" s="6">
        <f t="shared" ref="G84:G85" si="2">F84</f>
        <v>1000</v>
      </c>
    </row>
    <row r="85" spans="1:7" x14ac:dyDescent="0.3">
      <c r="A85" s="5">
        <v>3</v>
      </c>
      <c r="B85" s="2" t="s">
        <v>22</v>
      </c>
      <c r="C85" s="4" t="s">
        <v>9</v>
      </c>
      <c r="D85" s="4"/>
      <c r="E85" s="4"/>
      <c r="F85" s="3">
        <v>1000</v>
      </c>
      <c r="G85" s="6">
        <f t="shared" si="2"/>
        <v>1000</v>
      </c>
    </row>
    <row r="86" spans="1:7" ht="15" thickBot="1" x14ac:dyDescent="0.35">
      <c r="A86" s="11"/>
      <c r="B86" s="12"/>
      <c r="C86" s="12"/>
      <c r="D86" s="12"/>
      <c r="E86" s="12"/>
      <c r="F86" s="12"/>
      <c r="G86" s="13"/>
    </row>
    <row r="87" spans="1:7" ht="15" thickBot="1" x14ac:dyDescent="0.35">
      <c r="A87" s="14" t="s">
        <v>24</v>
      </c>
      <c r="B87" s="15"/>
      <c r="C87" s="15"/>
      <c r="D87" s="15"/>
      <c r="E87" s="15"/>
      <c r="F87" s="15"/>
      <c r="G87" s="16"/>
    </row>
    <row r="88" spans="1:7" x14ac:dyDescent="0.3">
      <c r="A88" s="17" t="s">
        <v>2</v>
      </c>
      <c r="B88" s="18" t="s">
        <v>3</v>
      </c>
      <c r="C88" s="21" t="s">
        <v>27</v>
      </c>
      <c r="D88" s="21" t="s">
        <v>28</v>
      </c>
      <c r="E88" s="21" t="s">
        <v>29</v>
      </c>
      <c r="F88" s="18" t="s">
        <v>30</v>
      </c>
      <c r="G88" s="19" t="s">
        <v>7</v>
      </c>
    </row>
    <row r="89" spans="1:7" x14ac:dyDescent="0.3">
      <c r="A89" s="5">
        <v>1</v>
      </c>
      <c r="B89" s="2" t="s">
        <v>26</v>
      </c>
      <c r="C89" s="2" t="s">
        <v>9</v>
      </c>
      <c r="D89" s="2" t="s">
        <v>9</v>
      </c>
      <c r="E89" s="2" t="s">
        <v>9</v>
      </c>
      <c r="F89" s="3">
        <v>500</v>
      </c>
      <c r="G89" s="6">
        <v>500</v>
      </c>
    </row>
    <row r="90" spans="1:7" ht="15" thickBot="1" x14ac:dyDescent="0.35">
      <c r="A90" s="11"/>
      <c r="B90" s="12"/>
      <c r="C90" s="12"/>
      <c r="D90" s="12"/>
      <c r="E90" s="12"/>
      <c r="F90" s="12"/>
      <c r="G90" s="13"/>
    </row>
    <row r="91" spans="1:7" ht="15" thickBot="1" x14ac:dyDescent="0.35">
      <c r="A91" s="14" t="s">
        <v>31</v>
      </c>
      <c r="B91" s="15"/>
      <c r="C91" s="15"/>
      <c r="D91" s="15"/>
      <c r="E91" s="15"/>
      <c r="F91" s="15"/>
      <c r="G91" s="16"/>
    </row>
    <row r="92" spans="1:7" x14ac:dyDescent="0.3">
      <c r="A92" s="17" t="s">
        <v>32</v>
      </c>
      <c r="B92" s="18" t="s">
        <v>3</v>
      </c>
      <c r="C92" s="20" t="s">
        <v>33</v>
      </c>
      <c r="D92" s="20"/>
      <c r="E92" s="20"/>
      <c r="F92" s="18" t="s">
        <v>6</v>
      </c>
      <c r="G92" s="19" t="s">
        <v>34</v>
      </c>
    </row>
    <row r="93" spans="1:7" x14ac:dyDescent="0.3">
      <c r="A93" s="5">
        <v>1</v>
      </c>
      <c r="B93" s="2" t="s">
        <v>35</v>
      </c>
      <c r="C93" s="4" t="s">
        <v>36</v>
      </c>
      <c r="D93" s="4"/>
      <c r="E93" s="4"/>
      <c r="F93" s="3">
        <v>500</v>
      </c>
      <c r="G93" s="6">
        <v>500</v>
      </c>
    </row>
    <row r="94" spans="1:7" x14ac:dyDescent="0.3">
      <c r="A94" s="5">
        <v>2</v>
      </c>
      <c r="B94" s="2" t="s">
        <v>37</v>
      </c>
      <c r="C94" s="4" t="s">
        <v>9</v>
      </c>
      <c r="D94" s="4"/>
      <c r="E94" s="4"/>
      <c r="F94" s="3">
        <v>500</v>
      </c>
      <c r="G94" s="6">
        <v>500</v>
      </c>
    </row>
    <row r="95" spans="1:7" ht="15" thickBot="1" x14ac:dyDescent="0.35">
      <c r="A95" s="11"/>
      <c r="B95" s="12"/>
      <c r="C95" s="12"/>
      <c r="D95" s="12"/>
      <c r="E95" s="12"/>
      <c r="F95" s="12"/>
      <c r="G95" s="13"/>
    </row>
    <row r="96" spans="1:7" ht="15" thickBot="1" x14ac:dyDescent="0.35">
      <c r="A96" s="14" t="s">
        <v>40</v>
      </c>
      <c r="B96" s="15"/>
      <c r="C96" s="15"/>
      <c r="D96" s="15"/>
      <c r="E96" s="15"/>
      <c r="F96" s="15"/>
      <c r="G96" s="16"/>
    </row>
    <row r="97" spans="1:7" x14ac:dyDescent="0.3">
      <c r="A97" s="17" t="s">
        <v>32</v>
      </c>
      <c r="B97" s="18" t="s">
        <v>3</v>
      </c>
      <c r="C97" s="20" t="s">
        <v>33</v>
      </c>
      <c r="D97" s="20"/>
      <c r="E97" s="20"/>
      <c r="F97" s="18" t="s">
        <v>6</v>
      </c>
      <c r="G97" s="19" t="s">
        <v>34</v>
      </c>
    </row>
    <row r="98" spans="1:7" x14ac:dyDescent="0.3">
      <c r="A98" s="5">
        <v>1</v>
      </c>
      <c r="B98" s="2"/>
      <c r="C98" s="2"/>
      <c r="D98" s="2"/>
      <c r="E98" s="2"/>
      <c r="F98" s="3">
        <v>0</v>
      </c>
      <c r="G98" s="6">
        <v>0</v>
      </c>
    </row>
    <row r="99" spans="1:7" x14ac:dyDescent="0.3">
      <c r="A99" s="7"/>
      <c r="B99" s="4"/>
      <c r="C99" s="4"/>
      <c r="D99" s="4"/>
      <c r="E99" s="4"/>
      <c r="F99" s="4"/>
      <c r="G99" s="6"/>
    </row>
    <row r="100" spans="1:7" ht="15" thickBot="1" x14ac:dyDescent="0.35">
      <c r="A100" s="26" t="s">
        <v>39</v>
      </c>
      <c r="B100" s="27"/>
      <c r="C100" s="27"/>
      <c r="D100" s="27"/>
      <c r="E100" s="27"/>
      <c r="F100" s="27"/>
      <c r="G100" s="28">
        <f>G73+G77+G83+G84+G85+G89+G93+G94+G98+G78+G79</f>
        <v>13225</v>
      </c>
    </row>
    <row r="103" spans="1:7" ht="15" thickBot="1" x14ac:dyDescent="0.35"/>
    <row r="104" spans="1:7" ht="15" thickBot="1" x14ac:dyDescent="0.35">
      <c r="A104" s="8" t="s">
        <v>53</v>
      </c>
      <c r="B104" s="9"/>
      <c r="C104" s="9"/>
      <c r="D104" s="9"/>
      <c r="E104" s="9"/>
      <c r="F104" s="9"/>
      <c r="G104" s="10"/>
    </row>
    <row r="105" spans="1:7" ht="15" thickBot="1" x14ac:dyDescent="0.35">
      <c r="A105" s="14" t="s">
        <v>13</v>
      </c>
      <c r="B105" s="15"/>
      <c r="C105" s="15"/>
      <c r="D105" s="15"/>
      <c r="E105" s="15"/>
      <c r="F105" s="15"/>
      <c r="G105" s="16"/>
    </row>
    <row r="106" spans="1:7" x14ac:dyDescent="0.3">
      <c r="A106" s="17" t="s">
        <v>2</v>
      </c>
      <c r="B106" s="18" t="s">
        <v>3</v>
      </c>
      <c r="C106" s="18" t="s">
        <v>4</v>
      </c>
      <c r="D106" s="18" t="s">
        <v>5</v>
      </c>
      <c r="E106" s="18" t="s">
        <v>10</v>
      </c>
      <c r="F106" s="18" t="s">
        <v>11</v>
      </c>
      <c r="G106" s="19" t="s">
        <v>7</v>
      </c>
    </row>
    <row r="107" spans="1:7" x14ac:dyDescent="0.3">
      <c r="A107" s="5">
        <v>1</v>
      </c>
      <c r="B107" s="2" t="s">
        <v>1</v>
      </c>
      <c r="C107" s="2" t="s">
        <v>54</v>
      </c>
      <c r="D107" s="2" t="s">
        <v>9</v>
      </c>
      <c r="E107" s="2">
        <v>4</v>
      </c>
      <c r="F107" s="3">
        <v>75</v>
      </c>
      <c r="G107" s="6">
        <f>E107*F107</f>
        <v>300</v>
      </c>
    </row>
    <row r="108" spans="1:7" x14ac:dyDescent="0.3">
      <c r="A108" s="22">
        <v>2</v>
      </c>
      <c r="B108" s="23" t="s">
        <v>56</v>
      </c>
      <c r="C108" s="23" t="s">
        <v>55</v>
      </c>
      <c r="D108" s="23" t="s">
        <v>9</v>
      </c>
      <c r="E108" s="23">
        <v>7</v>
      </c>
      <c r="F108" s="24">
        <v>75</v>
      </c>
      <c r="G108" s="25">
        <f>F108*E108</f>
        <v>525</v>
      </c>
    </row>
    <row r="109" spans="1:7" ht="15" thickBot="1" x14ac:dyDescent="0.35">
      <c r="A109" s="11"/>
      <c r="B109" s="12"/>
      <c r="C109" s="12"/>
      <c r="D109" s="12"/>
      <c r="E109" s="12"/>
      <c r="F109" s="12"/>
      <c r="G109" s="13"/>
    </row>
    <row r="110" spans="1:7" ht="15" thickBot="1" x14ac:dyDescent="0.35">
      <c r="A110" s="14" t="s">
        <v>12</v>
      </c>
      <c r="B110" s="15"/>
      <c r="C110" s="15"/>
      <c r="D110" s="15"/>
      <c r="E110" s="15"/>
      <c r="F110" s="15"/>
      <c r="G110" s="16"/>
    </row>
    <row r="111" spans="1:7" x14ac:dyDescent="0.3">
      <c r="A111" s="17" t="s">
        <v>2</v>
      </c>
      <c r="B111" s="18" t="s">
        <v>3</v>
      </c>
      <c r="C111" s="18" t="s">
        <v>14</v>
      </c>
      <c r="D111" s="18" t="s">
        <v>15</v>
      </c>
      <c r="E111" s="18" t="s">
        <v>16</v>
      </c>
      <c r="F111" s="18" t="s">
        <v>17</v>
      </c>
      <c r="G111" s="19" t="s">
        <v>7</v>
      </c>
    </row>
    <row r="112" spans="1:7" x14ac:dyDescent="0.3">
      <c r="A112" s="5">
        <v>1</v>
      </c>
      <c r="B112" s="2" t="s">
        <v>18</v>
      </c>
      <c r="C112" s="2">
        <v>3</v>
      </c>
      <c r="D112" s="3">
        <f>750*C112</f>
        <v>2250</v>
      </c>
      <c r="E112" s="2">
        <v>8</v>
      </c>
      <c r="F112" s="3">
        <v>400</v>
      </c>
      <c r="G112" s="6">
        <f>F112*E112+D112</f>
        <v>5450</v>
      </c>
    </row>
    <row r="113" spans="1:7" x14ac:dyDescent="0.3">
      <c r="A113" s="22">
        <v>2</v>
      </c>
      <c r="B113" s="23" t="s">
        <v>20</v>
      </c>
      <c r="C113" s="23">
        <v>2</v>
      </c>
      <c r="D113" s="24">
        <v>750</v>
      </c>
      <c r="E113" s="23">
        <v>2</v>
      </c>
      <c r="F113" s="24">
        <v>500</v>
      </c>
      <c r="G113" s="6">
        <f>F113*E113+D113</f>
        <v>1750</v>
      </c>
    </row>
    <row r="114" spans="1:7" x14ac:dyDescent="0.3">
      <c r="A114" s="22">
        <v>3</v>
      </c>
      <c r="B114" s="23" t="s">
        <v>51</v>
      </c>
      <c r="C114" s="23">
        <v>2</v>
      </c>
      <c r="D114" s="24">
        <f>750*2</f>
        <v>1500</v>
      </c>
      <c r="E114" s="23">
        <v>8</v>
      </c>
      <c r="F114" s="24">
        <v>400</v>
      </c>
      <c r="G114" s="25">
        <f>F114*E114+D114</f>
        <v>4700</v>
      </c>
    </row>
    <row r="115" spans="1:7" ht="15" thickBot="1" x14ac:dyDescent="0.35">
      <c r="A115" s="11"/>
      <c r="B115" s="12"/>
      <c r="C115" s="12"/>
      <c r="D115" s="12"/>
      <c r="E115" s="12"/>
      <c r="F115" s="12"/>
      <c r="G115" s="13"/>
    </row>
    <row r="116" spans="1:7" ht="15" thickBot="1" x14ac:dyDescent="0.35">
      <c r="A116" s="14" t="s">
        <v>19</v>
      </c>
      <c r="B116" s="15"/>
      <c r="C116" s="15"/>
      <c r="D116" s="15"/>
      <c r="E116" s="15"/>
      <c r="F116" s="15"/>
      <c r="G116" s="16"/>
    </row>
    <row r="117" spans="1:7" x14ac:dyDescent="0.3">
      <c r="A117" s="17" t="s">
        <v>2</v>
      </c>
      <c r="B117" s="18" t="s">
        <v>3</v>
      </c>
      <c r="C117" s="20" t="s">
        <v>9</v>
      </c>
      <c r="D117" s="20"/>
      <c r="E117" s="20"/>
      <c r="F117" s="18" t="s">
        <v>6</v>
      </c>
      <c r="G117" s="19" t="s">
        <v>7</v>
      </c>
    </row>
    <row r="118" spans="1:7" x14ac:dyDescent="0.3">
      <c r="A118" s="5">
        <v>1</v>
      </c>
      <c r="B118" s="2" t="s">
        <v>57</v>
      </c>
      <c r="C118" s="4" t="s">
        <v>9</v>
      </c>
      <c r="D118" s="4"/>
      <c r="E118" s="4"/>
      <c r="F118" s="3">
        <v>3500</v>
      </c>
      <c r="G118" s="6">
        <f>F118</f>
        <v>3500</v>
      </c>
    </row>
    <row r="119" spans="1:7" x14ac:dyDescent="0.3">
      <c r="A119" s="5">
        <v>2</v>
      </c>
      <c r="B119" s="2" t="s">
        <v>21</v>
      </c>
      <c r="C119" s="4" t="s">
        <v>9</v>
      </c>
      <c r="D119" s="4"/>
      <c r="E119" s="4"/>
      <c r="F119" s="3">
        <v>2000</v>
      </c>
      <c r="G119" s="6">
        <f t="shared" ref="G119:G120" si="3">F119</f>
        <v>2000</v>
      </c>
    </row>
    <row r="120" spans="1:7" x14ac:dyDescent="0.3">
      <c r="A120" s="5">
        <v>3</v>
      </c>
      <c r="B120" s="2" t="s">
        <v>22</v>
      </c>
      <c r="C120" s="4" t="s">
        <v>9</v>
      </c>
      <c r="D120" s="4"/>
      <c r="E120" s="4"/>
      <c r="F120" s="3">
        <v>1500</v>
      </c>
      <c r="G120" s="6">
        <f t="shared" si="3"/>
        <v>1500</v>
      </c>
    </row>
    <row r="121" spans="1:7" ht="15" thickBot="1" x14ac:dyDescent="0.35">
      <c r="A121" s="11"/>
      <c r="B121" s="12"/>
      <c r="C121" s="12"/>
      <c r="D121" s="12"/>
      <c r="E121" s="12"/>
      <c r="F121" s="12"/>
      <c r="G121" s="13"/>
    </row>
    <row r="122" spans="1:7" ht="15" thickBot="1" x14ac:dyDescent="0.35">
      <c r="A122" s="14" t="s">
        <v>24</v>
      </c>
      <c r="B122" s="15"/>
      <c r="C122" s="15"/>
      <c r="D122" s="15"/>
      <c r="E122" s="15"/>
      <c r="F122" s="15"/>
      <c r="G122" s="16"/>
    </row>
    <row r="123" spans="1:7" x14ac:dyDescent="0.3">
      <c r="A123" s="17" t="s">
        <v>2</v>
      </c>
      <c r="B123" s="18" t="s">
        <v>3</v>
      </c>
      <c r="C123" s="21" t="s">
        <v>27</v>
      </c>
      <c r="D123" s="21" t="s">
        <v>28</v>
      </c>
      <c r="E123" s="21" t="s">
        <v>29</v>
      </c>
      <c r="F123" s="18" t="s">
        <v>30</v>
      </c>
      <c r="G123" s="19" t="s">
        <v>7</v>
      </c>
    </row>
    <row r="124" spans="1:7" x14ac:dyDescent="0.3">
      <c r="A124" s="5">
        <v>1</v>
      </c>
      <c r="B124" s="2" t="s">
        <v>26</v>
      </c>
      <c r="C124" s="2" t="s">
        <v>9</v>
      </c>
      <c r="D124" s="2" t="s">
        <v>9</v>
      </c>
      <c r="E124" s="2" t="s">
        <v>9</v>
      </c>
      <c r="F124" s="3">
        <v>500</v>
      </c>
      <c r="G124" s="6">
        <v>500</v>
      </c>
    </row>
    <row r="125" spans="1:7" x14ac:dyDescent="0.3">
      <c r="A125" s="22">
        <v>2</v>
      </c>
      <c r="B125" s="23" t="s">
        <v>25</v>
      </c>
      <c r="C125" s="23">
        <v>1</v>
      </c>
      <c r="D125" s="24">
        <v>1000</v>
      </c>
      <c r="E125" s="23">
        <v>1</v>
      </c>
      <c r="F125" s="24">
        <v>1000</v>
      </c>
      <c r="G125" s="25">
        <v>2000</v>
      </c>
    </row>
    <row r="126" spans="1:7" ht="15" thickBot="1" x14ac:dyDescent="0.35">
      <c r="A126" s="11"/>
      <c r="B126" s="12"/>
      <c r="C126" s="12"/>
      <c r="D126" s="12"/>
      <c r="E126" s="12"/>
      <c r="F126" s="12"/>
      <c r="G126" s="13"/>
    </row>
    <row r="127" spans="1:7" ht="15" thickBot="1" x14ac:dyDescent="0.35">
      <c r="A127" s="14" t="s">
        <v>31</v>
      </c>
      <c r="B127" s="15"/>
      <c r="C127" s="15"/>
      <c r="D127" s="15"/>
      <c r="E127" s="15"/>
      <c r="F127" s="15"/>
      <c r="G127" s="16"/>
    </row>
    <row r="128" spans="1:7" x14ac:dyDescent="0.3">
      <c r="A128" s="17" t="s">
        <v>32</v>
      </c>
      <c r="B128" s="18" t="s">
        <v>3</v>
      </c>
      <c r="C128" s="20" t="s">
        <v>33</v>
      </c>
      <c r="D128" s="20"/>
      <c r="E128" s="20"/>
      <c r="F128" s="18" t="s">
        <v>6</v>
      </c>
      <c r="G128" s="19" t="s">
        <v>34</v>
      </c>
    </row>
    <row r="129" spans="1:7" x14ac:dyDescent="0.3">
      <c r="A129" s="5">
        <v>1</v>
      </c>
      <c r="B129" s="2" t="s">
        <v>35</v>
      </c>
      <c r="C129" s="4" t="s">
        <v>36</v>
      </c>
      <c r="D129" s="4"/>
      <c r="E129" s="4"/>
      <c r="F129" s="3">
        <v>2000</v>
      </c>
      <c r="G129" s="3">
        <v>2000</v>
      </c>
    </row>
    <row r="130" spans="1:7" x14ac:dyDescent="0.3">
      <c r="A130" s="5">
        <v>2</v>
      </c>
      <c r="B130" s="2" t="s">
        <v>37</v>
      </c>
      <c r="C130" s="4" t="s">
        <v>9</v>
      </c>
      <c r="D130" s="4"/>
      <c r="E130" s="4"/>
      <c r="F130" s="3">
        <v>1000</v>
      </c>
      <c r="G130" s="3">
        <v>1000</v>
      </c>
    </row>
    <row r="131" spans="1:7" ht="15" thickBot="1" x14ac:dyDescent="0.35">
      <c r="A131" s="11"/>
      <c r="B131" s="12"/>
      <c r="C131" s="12"/>
      <c r="D131" s="12"/>
      <c r="E131" s="12"/>
      <c r="F131" s="12"/>
      <c r="G131" s="13"/>
    </row>
    <row r="132" spans="1:7" ht="15" thickBot="1" x14ac:dyDescent="0.35">
      <c r="A132" s="14" t="s">
        <v>40</v>
      </c>
      <c r="B132" s="15"/>
      <c r="C132" s="15"/>
      <c r="D132" s="15"/>
      <c r="E132" s="15"/>
      <c r="F132" s="15"/>
      <c r="G132" s="16"/>
    </row>
    <row r="133" spans="1:7" x14ac:dyDescent="0.3">
      <c r="A133" s="17" t="s">
        <v>32</v>
      </c>
      <c r="B133" s="18" t="s">
        <v>3</v>
      </c>
      <c r="C133" s="20" t="s">
        <v>33</v>
      </c>
      <c r="D133" s="20"/>
      <c r="E133" s="20"/>
      <c r="F133" s="18" t="s">
        <v>6</v>
      </c>
      <c r="G133" s="19" t="s">
        <v>34</v>
      </c>
    </row>
    <row r="134" spans="1:7" x14ac:dyDescent="0.3">
      <c r="A134" s="5">
        <v>1</v>
      </c>
      <c r="B134" s="2" t="s">
        <v>58</v>
      </c>
      <c r="C134" s="2"/>
      <c r="D134" s="2"/>
      <c r="E134" s="2"/>
      <c r="F134" s="3">
        <v>2000</v>
      </c>
      <c r="G134" s="6">
        <v>2000</v>
      </c>
    </row>
    <row r="135" spans="1:7" x14ac:dyDescent="0.3">
      <c r="A135" s="5">
        <v>2</v>
      </c>
      <c r="B135" s="2" t="s">
        <v>59</v>
      </c>
      <c r="C135" s="2"/>
      <c r="D135" s="2"/>
      <c r="E135" s="2"/>
      <c r="F135" s="3">
        <v>1000</v>
      </c>
      <c r="G135" s="6">
        <v>1000</v>
      </c>
    </row>
    <row r="136" spans="1:7" x14ac:dyDescent="0.3">
      <c r="A136" s="7"/>
      <c r="B136" s="4"/>
      <c r="C136" s="4"/>
      <c r="D136" s="4"/>
      <c r="E136" s="4"/>
      <c r="F136" s="4"/>
      <c r="G136" s="6"/>
    </row>
    <row r="137" spans="1:7" ht="15" thickBot="1" x14ac:dyDescent="0.35">
      <c r="A137" s="26" t="s">
        <v>39</v>
      </c>
      <c r="B137" s="27"/>
      <c r="C137" s="27"/>
      <c r="D137" s="27"/>
      <c r="E137" s="27"/>
      <c r="F137" s="27"/>
      <c r="G137" s="28">
        <f>G107+G112+G118+G119+G120+G124+G129+G130+G134+G113+G114+G108+G125+G135</f>
        <v>28225</v>
      </c>
    </row>
  </sheetData>
  <mergeCells count="88">
    <mergeCell ref="A132:G132"/>
    <mergeCell ref="C133:E133"/>
    <mergeCell ref="A136:F136"/>
    <mergeCell ref="A137:F137"/>
    <mergeCell ref="A126:G126"/>
    <mergeCell ref="A127:G127"/>
    <mergeCell ref="C128:E128"/>
    <mergeCell ref="C129:E129"/>
    <mergeCell ref="C130:E130"/>
    <mergeCell ref="A131:G131"/>
    <mergeCell ref="C117:E117"/>
    <mergeCell ref="C118:E118"/>
    <mergeCell ref="C119:E119"/>
    <mergeCell ref="C120:E120"/>
    <mergeCell ref="A121:G121"/>
    <mergeCell ref="A122:G122"/>
    <mergeCell ref="A104:G104"/>
    <mergeCell ref="A105:G105"/>
    <mergeCell ref="A109:G109"/>
    <mergeCell ref="A110:G110"/>
    <mergeCell ref="A115:G115"/>
    <mergeCell ref="A116:G116"/>
    <mergeCell ref="C94:E94"/>
    <mergeCell ref="A95:G95"/>
    <mergeCell ref="A96:G96"/>
    <mergeCell ref="C97:E97"/>
    <mergeCell ref="A99:F99"/>
    <mergeCell ref="A100:F100"/>
    <mergeCell ref="A86:G86"/>
    <mergeCell ref="A87:G87"/>
    <mergeCell ref="A90:G90"/>
    <mergeCell ref="A91:G91"/>
    <mergeCell ref="C92:E92"/>
    <mergeCell ref="C93:E93"/>
    <mergeCell ref="A80:G80"/>
    <mergeCell ref="A81:G81"/>
    <mergeCell ref="C82:E82"/>
    <mergeCell ref="C83:E83"/>
    <mergeCell ref="C84:E84"/>
    <mergeCell ref="C85:E85"/>
    <mergeCell ref="A65:F65"/>
    <mergeCell ref="A66:F66"/>
    <mergeCell ref="A70:G70"/>
    <mergeCell ref="A71:G71"/>
    <mergeCell ref="A74:G74"/>
    <mergeCell ref="A75:G75"/>
    <mergeCell ref="C58:E58"/>
    <mergeCell ref="C59:E59"/>
    <mergeCell ref="C60:E60"/>
    <mergeCell ref="A61:G61"/>
    <mergeCell ref="A62:G62"/>
    <mergeCell ref="C63:E63"/>
    <mergeCell ref="C49:E49"/>
    <mergeCell ref="C50:E50"/>
    <mergeCell ref="A51:G51"/>
    <mergeCell ref="A52:G52"/>
    <mergeCell ref="A56:G56"/>
    <mergeCell ref="A57:G57"/>
    <mergeCell ref="A40:G40"/>
    <mergeCell ref="A41:G41"/>
    <mergeCell ref="A45:G45"/>
    <mergeCell ref="A46:G46"/>
    <mergeCell ref="C47:E47"/>
    <mergeCell ref="C48:E48"/>
    <mergeCell ref="A28:G28"/>
    <mergeCell ref="C29:E29"/>
    <mergeCell ref="A31:F31"/>
    <mergeCell ref="A32:F32"/>
    <mergeCell ref="A36:G36"/>
    <mergeCell ref="A37:G37"/>
    <mergeCell ref="A22:G22"/>
    <mergeCell ref="A23:G23"/>
    <mergeCell ref="C24:E24"/>
    <mergeCell ref="C25:E25"/>
    <mergeCell ref="C26:E26"/>
    <mergeCell ref="A27:G27"/>
    <mergeCell ref="C13:E13"/>
    <mergeCell ref="C14:E14"/>
    <mergeCell ref="C15:E15"/>
    <mergeCell ref="C16:E16"/>
    <mergeCell ref="A17:G17"/>
    <mergeCell ref="A18:G18"/>
    <mergeCell ref="A1:G1"/>
    <mergeCell ref="A2:G2"/>
    <mergeCell ref="A5:G5"/>
    <mergeCell ref="A6:G6"/>
    <mergeCell ref="A11:G11"/>
    <mergeCell ref="A12:G1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610E-31AB-4562-BEB7-62D0558E72C7}">
  <dimension ref="A1:G198"/>
  <sheetViews>
    <sheetView zoomScale="85" zoomScaleNormal="85" workbookViewId="0">
      <selection activeCell="J202" sqref="J202"/>
    </sheetView>
  </sheetViews>
  <sheetFormatPr defaultRowHeight="14.4" x14ac:dyDescent="0.3"/>
  <cols>
    <col min="2" max="2" width="31.109375" bestFit="1" customWidth="1"/>
    <col min="3" max="3" width="18.44140625" customWidth="1"/>
    <col min="4" max="4" width="13.77734375" customWidth="1"/>
    <col min="5" max="5" width="15.21875" bestFit="1" customWidth="1"/>
    <col min="6" max="6" width="16.88671875" bestFit="1" customWidth="1"/>
    <col min="7" max="7" width="10.33203125" bestFit="1" customWidth="1"/>
  </cols>
  <sheetData>
    <row r="1" spans="1:7" ht="15" thickBot="1" x14ac:dyDescent="0.35">
      <c r="A1" s="8" t="s">
        <v>62</v>
      </c>
      <c r="B1" s="9"/>
      <c r="C1" s="9"/>
      <c r="D1" s="9"/>
      <c r="E1" s="9"/>
      <c r="F1" s="9"/>
      <c r="G1" s="10"/>
    </row>
    <row r="2" spans="1:7" ht="15" thickBot="1" x14ac:dyDescent="0.35">
      <c r="A2" s="14" t="s">
        <v>13</v>
      </c>
      <c r="B2" s="15"/>
      <c r="C2" s="15"/>
      <c r="D2" s="15"/>
      <c r="E2" s="15"/>
      <c r="F2" s="15"/>
      <c r="G2" s="16"/>
    </row>
    <row r="3" spans="1:7" x14ac:dyDescent="0.3">
      <c r="A3" s="17" t="s">
        <v>2</v>
      </c>
      <c r="B3" s="18" t="s">
        <v>3</v>
      </c>
      <c r="C3" s="18" t="s">
        <v>4</v>
      </c>
      <c r="D3" s="18" t="s">
        <v>5</v>
      </c>
      <c r="E3" s="18" t="s">
        <v>10</v>
      </c>
      <c r="F3" s="18" t="s">
        <v>11</v>
      </c>
      <c r="G3" s="19" t="s">
        <v>7</v>
      </c>
    </row>
    <row r="4" spans="1:7" x14ac:dyDescent="0.3">
      <c r="A4" s="5">
        <v>1</v>
      </c>
      <c r="B4" s="2" t="s">
        <v>1</v>
      </c>
      <c r="C4" s="2" t="s">
        <v>42</v>
      </c>
      <c r="D4" s="2" t="s">
        <v>9</v>
      </c>
      <c r="E4" s="2">
        <v>3</v>
      </c>
      <c r="F4" s="3">
        <v>75</v>
      </c>
      <c r="G4" s="6">
        <f>E4*F4</f>
        <v>225</v>
      </c>
    </row>
    <row r="5" spans="1:7" ht="15" thickBot="1" x14ac:dyDescent="0.35">
      <c r="A5" s="11"/>
      <c r="B5" s="12"/>
      <c r="C5" s="12"/>
      <c r="D5" s="12"/>
      <c r="E5" s="12"/>
      <c r="F5" s="12"/>
      <c r="G5" s="13"/>
    </row>
    <row r="6" spans="1:7" ht="15" thickBot="1" x14ac:dyDescent="0.35">
      <c r="A6" s="14" t="s">
        <v>12</v>
      </c>
      <c r="B6" s="15"/>
      <c r="C6" s="15"/>
      <c r="D6" s="15"/>
      <c r="E6" s="15"/>
      <c r="F6" s="15"/>
      <c r="G6" s="16"/>
    </row>
    <row r="7" spans="1:7" x14ac:dyDescent="0.3">
      <c r="A7" s="17" t="s">
        <v>2</v>
      </c>
      <c r="B7" s="18" t="s">
        <v>3</v>
      </c>
      <c r="C7" s="18" t="s">
        <v>14</v>
      </c>
      <c r="D7" s="18" t="s">
        <v>15</v>
      </c>
      <c r="E7" s="18" t="s">
        <v>16</v>
      </c>
      <c r="F7" s="18" t="s">
        <v>17</v>
      </c>
      <c r="G7" s="19" t="s">
        <v>7</v>
      </c>
    </row>
    <row r="8" spans="1:7" x14ac:dyDescent="0.3">
      <c r="A8" s="5">
        <v>1</v>
      </c>
      <c r="B8" s="2" t="s">
        <v>18</v>
      </c>
      <c r="C8" s="2">
        <v>2</v>
      </c>
      <c r="D8" s="3">
        <v>1500</v>
      </c>
      <c r="E8" s="2">
        <v>5</v>
      </c>
      <c r="F8" s="3">
        <v>400</v>
      </c>
      <c r="G8" s="6">
        <f>F8*E8+D8</f>
        <v>3500</v>
      </c>
    </row>
    <row r="9" spans="1:7" x14ac:dyDescent="0.3">
      <c r="A9" s="5">
        <v>2</v>
      </c>
      <c r="B9" s="2" t="s">
        <v>43</v>
      </c>
      <c r="C9" s="2">
        <v>1</v>
      </c>
      <c r="D9" s="3">
        <v>750</v>
      </c>
      <c r="E9" s="2">
        <v>2</v>
      </c>
      <c r="F9" s="3">
        <v>400</v>
      </c>
      <c r="G9" s="6">
        <f>F9*E9+D9</f>
        <v>1550</v>
      </c>
    </row>
    <row r="10" spans="1:7" ht="15" thickBot="1" x14ac:dyDescent="0.35">
      <c r="A10" s="11"/>
      <c r="B10" s="12"/>
      <c r="C10" s="12"/>
      <c r="D10" s="12"/>
      <c r="E10" s="12"/>
      <c r="F10" s="12"/>
      <c r="G10" s="13"/>
    </row>
    <row r="11" spans="1:7" ht="15" thickBot="1" x14ac:dyDescent="0.35">
      <c r="A11" s="14" t="s">
        <v>19</v>
      </c>
      <c r="B11" s="15"/>
      <c r="C11" s="15"/>
      <c r="D11" s="15"/>
      <c r="E11" s="15"/>
      <c r="F11" s="15"/>
      <c r="G11" s="16"/>
    </row>
    <row r="12" spans="1:7" x14ac:dyDescent="0.3">
      <c r="A12" s="17" t="s">
        <v>2</v>
      </c>
      <c r="B12" s="18" t="s">
        <v>3</v>
      </c>
      <c r="C12" s="20" t="s">
        <v>9</v>
      </c>
      <c r="D12" s="20"/>
      <c r="E12" s="20"/>
      <c r="F12" s="18" t="s">
        <v>6</v>
      </c>
      <c r="G12" s="19" t="s">
        <v>7</v>
      </c>
    </row>
    <row r="13" spans="1:7" x14ac:dyDescent="0.3">
      <c r="A13" s="5">
        <v>1</v>
      </c>
      <c r="B13" s="2" t="s">
        <v>60</v>
      </c>
      <c r="C13" s="4" t="s">
        <v>9</v>
      </c>
      <c r="D13" s="4"/>
      <c r="E13" s="4"/>
      <c r="F13" s="3">
        <v>1500</v>
      </c>
      <c r="G13" s="6">
        <f>F13</f>
        <v>1500</v>
      </c>
    </row>
    <row r="14" spans="1:7" x14ac:dyDescent="0.3">
      <c r="A14" s="5">
        <v>2</v>
      </c>
      <c r="B14" s="2" t="s">
        <v>21</v>
      </c>
      <c r="C14" s="4" t="s">
        <v>9</v>
      </c>
      <c r="D14" s="4"/>
      <c r="E14" s="4"/>
      <c r="F14" s="3">
        <v>1000</v>
      </c>
      <c r="G14" s="6">
        <f t="shared" ref="G14:G15" si="0">F14</f>
        <v>1000</v>
      </c>
    </row>
    <row r="15" spans="1:7" x14ac:dyDescent="0.3">
      <c r="A15" s="5">
        <v>3</v>
      </c>
      <c r="B15" s="2" t="s">
        <v>22</v>
      </c>
      <c r="C15" s="4" t="s">
        <v>9</v>
      </c>
      <c r="D15" s="4"/>
      <c r="E15" s="4"/>
      <c r="F15" s="3">
        <v>1000</v>
      </c>
      <c r="G15" s="6">
        <f t="shared" si="0"/>
        <v>1000</v>
      </c>
    </row>
    <row r="16" spans="1:7" ht="15" thickBot="1" x14ac:dyDescent="0.35">
      <c r="A16" s="11"/>
      <c r="B16" s="12"/>
      <c r="C16" s="12"/>
      <c r="D16" s="12"/>
      <c r="E16" s="12"/>
      <c r="F16" s="12"/>
      <c r="G16" s="13"/>
    </row>
    <row r="17" spans="1:7" ht="15" thickBot="1" x14ac:dyDescent="0.35">
      <c r="A17" s="14" t="s">
        <v>24</v>
      </c>
      <c r="B17" s="15"/>
      <c r="C17" s="15"/>
      <c r="D17" s="15"/>
      <c r="E17" s="15"/>
      <c r="F17" s="15"/>
      <c r="G17" s="16"/>
    </row>
    <row r="18" spans="1:7" x14ac:dyDescent="0.3">
      <c r="A18" s="17" t="s">
        <v>2</v>
      </c>
      <c r="B18" s="18" t="s">
        <v>3</v>
      </c>
      <c r="C18" s="21" t="s">
        <v>27</v>
      </c>
      <c r="D18" s="21" t="s">
        <v>28</v>
      </c>
      <c r="E18" s="21" t="s">
        <v>29</v>
      </c>
      <c r="F18" s="18" t="s">
        <v>30</v>
      </c>
      <c r="G18" s="19" t="s">
        <v>7</v>
      </c>
    </row>
    <row r="19" spans="1:7" x14ac:dyDescent="0.3">
      <c r="A19" s="5">
        <v>1</v>
      </c>
      <c r="B19" s="2" t="s">
        <v>26</v>
      </c>
      <c r="C19" s="2" t="s">
        <v>9</v>
      </c>
      <c r="D19" s="2" t="s">
        <v>9</v>
      </c>
      <c r="E19" s="2" t="s">
        <v>9</v>
      </c>
      <c r="F19" s="3">
        <v>500</v>
      </c>
      <c r="G19" s="6">
        <v>500</v>
      </c>
    </row>
    <row r="20" spans="1:7" ht="15" thickBot="1" x14ac:dyDescent="0.35">
      <c r="A20" s="11"/>
      <c r="B20" s="12"/>
      <c r="C20" s="12"/>
      <c r="D20" s="12"/>
      <c r="E20" s="12"/>
      <c r="F20" s="12"/>
      <c r="G20" s="13"/>
    </row>
    <row r="21" spans="1:7" ht="15" thickBot="1" x14ac:dyDescent="0.35">
      <c r="A21" s="14" t="s">
        <v>31</v>
      </c>
      <c r="B21" s="15"/>
      <c r="C21" s="15"/>
      <c r="D21" s="15"/>
      <c r="E21" s="15"/>
      <c r="F21" s="15"/>
      <c r="G21" s="16"/>
    </row>
    <row r="22" spans="1:7" x14ac:dyDescent="0.3">
      <c r="A22" s="17" t="s">
        <v>32</v>
      </c>
      <c r="B22" s="18" t="s">
        <v>3</v>
      </c>
      <c r="C22" s="20" t="s">
        <v>33</v>
      </c>
      <c r="D22" s="20"/>
      <c r="E22" s="20"/>
      <c r="F22" s="18" t="s">
        <v>6</v>
      </c>
      <c r="G22" s="19" t="s">
        <v>34</v>
      </c>
    </row>
    <row r="23" spans="1:7" x14ac:dyDescent="0.3">
      <c r="A23" s="5">
        <v>1</v>
      </c>
      <c r="B23" s="2" t="s">
        <v>35</v>
      </c>
      <c r="C23" s="4" t="s">
        <v>36</v>
      </c>
      <c r="D23" s="4"/>
      <c r="E23" s="4"/>
      <c r="F23" s="3">
        <v>500</v>
      </c>
      <c r="G23" s="6">
        <v>500</v>
      </c>
    </row>
    <row r="24" spans="1:7" x14ac:dyDescent="0.3">
      <c r="A24" s="5">
        <v>2</v>
      </c>
      <c r="B24" s="2" t="s">
        <v>37</v>
      </c>
      <c r="C24" s="4" t="s">
        <v>9</v>
      </c>
      <c r="D24" s="4"/>
      <c r="E24" s="4"/>
      <c r="F24" s="3">
        <v>500</v>
      </c>
      <c r="G24" s="6">
        <v>500</v>
      </c>
    </row>
    <row r="25" spans="1:7" ht="15" thickBot="1" x14ac:dyDescent="0.35">
      <c r="A25" s="11"/>
      <c r="B25" s="12"/>
      <c r="C25" s="12"/>
      <c r="D25" s="12"/>
      <c r="E25" s="12"/>
      <c r="F25" s="12"/>
      <c r="G25" s="13"/>
    </row>
    <row r="26" spans="1:7" ht="15" thickBot="1" x14ac:dyDescent="0.35">
      <c r="A26" s="14" t="s">
        <v>40</v>
      </c>
      <c r="B26" s="15"/>
      <c r="C26" s="15"/>
      <c r="D26" s="15"/>
      <c r="E26" s="15"/>
      <c r="F26" s="15"/>
      <c r="G26" s="16"/>
    </row>
    <row r="27" spans="1:7" x14ac:dyDescent="0.3">
      <c r="A27" s="17" t="s">
        <v>32</v>
      </c>
      <c r="B27" s="18" t="s">
        <v>3</v>
      </c>
      <c r="C27" s="20" t="s">
        <v>33</v>
      </c>
      <c r="D27" s="20"/>
      <c r="E27" s="20"/>
      <c r="F27" s="18" t="s">
        <v>6</v>
      </c>
      <c r="G27" s="19" t="s">
        <v>34</v>
      </c>
    </row>
    <row r="28" spans="1:7" x14ac:dyDescent="0.3">
      <c r="A28" s="5">
        <v>1</v>
      </c>
      <c r="B28" s="2" t="s">
        <v>61</v>
      </c>
      <c r="C28" s="2"/>
      <c r="D28" s="2"/>
      <c r="E28" s="2"/>
      <c r="F28" s="3">
        <v>1500</v>
      </c>
      <c r="G28" s="6">
        <v>1500</v>
      </c>
    </row>
    <row r="29" spans="1:7" x14ac:dyDescent="0.3">
      <c r="A29" s="7"/>
      <c r="B29" s="4"/>
      <c r="C29" s="4"/>
      <c r="D29" s="4"/>
      <c r="E29" s="4"/>
      <c r="F29" s="4"/>
      <c r="G29" s="6"/>
    </row>
    <row r="30" spans="1:7" ht="15" thickBot="1" x14ac:dyDescent="0.35">
      <c r="A30" s="26" t="s">
        <v>39</v>
      </c>
      <c r="B30" s="27"/>
      <c r="C30" s="27"/>
      <c r="D30" s="27"/>
      <c r="E30" s="27"/>
      <c r="F30" s="27"/>
      <c r="G30" s="28">
        <f>G4+G8+G9+G13+G14+G15+G19+G23+G24+G28</f>
        <v>11775</v>
      </c>
    </row>
    <row r="33" spans="1:7" ht="15" thickBot="1" x14ac:dyDescent="0.35"/>
    <row r="34" spans="1:7" ht="15" thickBot="1" x14ac:dyDescent="0.35">
      <c r="A34" s="8" t="s">
        <v>65</v>
      </c>
      <c r="B34" s="9"/>
      <c r="C34" s="9"/>
      <c r="D34" s="9"/>
      <c r="E34" s="9"/>
      <c r="F34" s="9"/>
      <c r="G34" s="10"/>
    </row>
    <row r="35" spans="1:7" ht="15" thickBot="1" x14ac:dyDescent="0.35">
      <c r="A35" s="14" t="s">
        <v>13</v>
      </c>
      <c r="B35" s="15"/>
      <c r="C35" s="15"/>
      <c r="D35" s="15"/>
      <c r="E35" s="15"/>
      <c r="F35" s="15"/>
      <c r="G35" s="16"/>
    </row>
    <row r="36" spans="1:7" x14ac:dyDescent="0.3">
      <c r="A36" s="17" t="s">
        <v>2</v>
      </c>
      <c r="B36" s="18" t="s">
        <v>3</v>
      </c>
      <c r="C36" s="18" t="s">
        <v>4</v>
      </c>
      <c r="D36" s="18" t="s">
        <v>5</v>
      </c>
      <c r="E36" s="18" t="s">
        <v>10</v>
      </c>
      <c r="F36" s="18" t="s">
        <v>11</v>
      </c>
      <c r="G36" s="19" t="s">
        <v>7</v>
      </c>
    </row>
    <row r="37" spans="1:7" x14ac:dyDescent="0.3">
      <c r="A37" s="5">
        <v>1</v>
      </c>
      <c r="B37" s="2" t="s">
        <v>1</v>
      </c>
      <c r="C37" s="2" t="s">
        <v>63</v>
      </c>
      <c r="D37" s="2" t="s">
        <v>9</v>
      </c>
      <c r="E37" s="2">
        <v>4</v>
      </c>
      <c r="F37" s="3">
        <v>75</v>
      </c>
      <c r="G37" s="6">
        <f>E37*F37</f>
        <v>300</v>
      </c>
    </row>
    <row r="38" spans="1:7" ht="15" thickBot="1" x14ac:dyDescent="0.35">
      <c r="A38" s="11"/>
      <c r="B38" s="12"/>
      <c r="C38" s="12"/>
      <c r="D38" s="12"/>
      <c r="E38" s="12"/>
      <c r="F38" s="12"/>
      <c r="G38" s="13"/>
    </row>
    <row r="39" spans="1:7" ht="15" thickBot="1" x14ac:dyDescent="0.35">
      <c r="A39" s="14" t="s">
        <v>12</v>
      </c>
      <c r="B39" s="15"/>
      <c r="C39" s="15"/>
      <c r="D39" s="15"/>
      <c r="E39" s="15"/>
      <c r="F39" s="15"/>
      <c r="G39" s="16"/>
    </row>
    <row r="40" spans="1:7" x14ac:dyDescent="0.3">
      <c r="A40" s="17" t="s">
        <v>2</v>
      </c>
      <c r="B40" s="18" t="s">
        <v>3</v>
      </c>
      <c r="C40" s="18" t="s">
        <v>14</v>
      </c>
      <c r="D40" s="18" t="s">
        <v>15</v>
      </c>
      <c r="E40" s="18" t="s">
        <v>16</v>
      </c>
      <c r="F40" s="18" t="s">
        <v>17</v>
      </c>
      <c r="G40" s="19" t="s">
        <v>7</v>
      </c>
    </row>
    <row r="41" spans="1:7" x14ac:dyDescent="0.3">
      <c r="A41" s="5">
        <v>1</v>
      </c>
      <c r="B41" s="2" t="s">
        <v>18</v>
      </c>
      <c r="C41" s="2">
        <v>3</v>
      </c>
      <c r="D41" s="3">
        <v>2150</v>
      </c>
      <c r="E41" s="2">
        <v>10</v>
      </c>
      <c r="F41" s="3">
        <v>400</v>
      </c>
      <c r="G41" s="6">
        <f>F41*E41+D41</f>
        <v>6150</v>
      </c>
    </row>
    <row r="42" spans="1:7" x14ac:dyDescent="0.3">
      <c r="A42" s="5"/>
      <c r="B42" s="2"/>
      <c r="C42" s="2"/>
      <c r="D42" s="3"/>
      <c r="E42" s="2"/>
      <c r="F42" s="3"/>
      <c r="G42" s="6"/>
    </row>
    <row r="43" spans="1:7" ht="15" thickBot="1" x14ac:dyDescent="0.35">
      <c r="A43" s="11"/>
      <c r="B43" s="12"/>
      <c r="C43" s="12"/>
      <c r="D43" s="12"/>
      <c r="E43" s="12"/>
      <c r="F43" s="12"/>
      <c r="G43" s="13"/>
    </row>
    <row r="44" spans="1:7" ht="15" thickBot="1" x14ac:dyDescent="0.35">
      <c r="A44" s="14" t="s">
        <v>19</v>
      </c>
      <c r="B44" s="15"/>
      <c r="C44" s="15"/>
      <c r="D44" s="15"/>
      <c r="E44" s="15"/>
      <c r="F44" s="15"/>
      <c r="G44" s="16"/>
    </row>
    <row r="45" spans="1:7" x14ac:dyDescent="0.3">
      <c r="A45" s="17" t="s">
        <v>2</v>
      </c>
      <c r="B45" s="18" t="s">
        <v>3</v>
      </c>
      <c r="C45" s="20" t="s">
        <v>9</v>
      </c>
      <c r="D45" s="20"/>
      <c r="E45" s="20"/>
      <c r="F45" s="18" t="s">
        <v>6</v>
      </c>
      <c r="G45" s="19" t="s">
        <v>7</v>
      </c>
    </row>
    <row r="46" spans="1:7" x14ac:dyDescent="0.3">
      <c r="A46" s="5">
        <v>1</v>
      </c>
      <c r="B46" s="2" t="s">
        <v>60</v>
      </c>
      <c r="C46" s="4" t="s">
        <v>64</v>
      </c>
      <c r="D46" s="4"/>
      <c r="E46" s="4"/>
      <c r="F46" s="3">
        <v>0</v>
      </c>
      <c r="G46" s="6">
        <f>F46</f>
        <v>0</v>
      </c>
    </row>
    <row r="47" spans="1:7" x14ac:dyDescent="0.3">
      <c r="A47" s="5">
        <v>2</v>
      </c>
      <c r="B47" s="2" t="s">
        <v>68</v>
      </c>
      <c r="C47" s="4" t="s">
        <v>9</v>
      </c>
      <c r="D47" s="4"/>
      <c r="E47" s="4"/>
      <c r="F47" s="3">
        <v>1000</v>
      </c>
      <c r="G47" s="6">
        <f t="shared" ref="G47" si="1">F47</f>
        <v>1000</v>
      </c>
    </row>
    <row r="48" spans="1:7" x14ac:dyDescent="0.3">
      <c r="A48" s="5">
        <v>3</v>
      </c>
      <c r="B48" s="2"/>
      <c r="C48" s="4"/>
      <c r="D48" s="4"/>
      <c r="E48" s="4"/>
      <c r="F48" s="3"/>
      <c r="G48" s="6"/>
    </row>
    <row r="49" spans="1:7" ht="15" thickBot="1" x14ac:dyDescent="0.35">
      <c r="A49" s="11"/>
      <c r="B49" s="12"/>
      <c r="C49" s="12"/>
      <c r="D49" s="12"/>
      <c r="E49" s="12"/>
      <c r="F49" s="12"/>
      <c r="G49" s="13"/>
    </row>
    <row r="50" spans="1:7" ht="15" thickBot="1" x14ac:dyDescent="0.35">
      <c r="A50" s="14" t="s">
        <v>24</v>
      </c>
      <c r="B50" s="15"/>
      <c r="C50" s="15"/>
      <c r="D50" s="15"/>
      <c r="E50" s="15"/>
      <c r="F50" s="15"/>
      <c r="G50" s="16"/>
    </row>
    <row r="51" spans="1:7" x14ac:dyDescent="0.3">
      <c r="A51" s="17" t="s">
        <v>2</v>
      </c>
      <c r="B51" s="18" t="s">
        <v>3</v>
      </c>
      <c r="C51" s="21" t="s">
        <v>27</v>
      </c>
      <c r="D51" s="21" t="s">
        <v>28</v>
      </c>
      <c r="E51" s="21" t="s">
        <v>29</v>
      </c>
      <c r="F51" s="18" t="s">
        <v>30</v>
      </c>
      <c r="G51" s="19" t="s">
        <v>7</v>
      </c>
    </row>
    <row r="52" spans="1:7" x14ac:dyDescent="0.3">
      <c r="A52" s="5">
        <v>1</v>
      </c>
      <c r="B52" s="2" t="s">
        <v>26</v>
      </c>
      <c r="C52" s="2" t="s">
        <v>9</v>
      </c>
      <c r="D52" s="2" t="s">
        <v>9</v>
      </c>
      <c r="E52" s="2" t="s">
        <v>9</v>
      </c>
      <c r="F52" s="3">
        <v>500</v>
      </c>
      <c r="G52" s="6">
        <v>500</v>
      </c>
    </row>
    <row r="53" spans="1:7" ht="15" thickBot="1" x14ac:dyDescent="0.35">
      <c r="A53" s="11"/>
      <c r="B53" s="12"/>
      <c r="C53" s="12"/>
      <c r="D53" s="12"/>
      <c r="E53" s="12"/>
      <c r="F53" s="12"/>
      <c r="G53" s="13"/>
    </row>
    <row r="54" spans="1:7" ht="15" thickBot="1" x14ac:dyDescent="0.35">
      <c r="A54" s="14" t="s">
        <v>31</v>
      </c>
      <c r="B54" s="15"/>
      <c r="C54" s="15"/>
      <c r="D54" s="15"/>
      <c r="E54" s="15"/>
      <c r="F54" s="15"/>
      <c r="G54" s="16"/>
    </row>
    <row r="55" spans="1:7" x14ac:dyDescent="0.3">
      <c r="A55" s="17" t="s">
        <v>32</v>
      </c>
      <c r="B55" s="18" t="s">
        <v>3</v>
      </c>
      <c r="C55" s="20" t="s">
        <v>33</v>
      </c>
      <c r="D55" s="20"/>
      <c r="E55" s="20"/>
      <c r="F55" s="18" t="s">
        <v>6</v>
      </c>
      <c r="G55" s="19" t="s">
        <v>34</v>
      </c>
    </row>
    <row r="56" spans="1:7" x14ac:dyDescent="0.3">
      <c r="A56" s="5">
        <v>1</v>
      </c>
      <c r="B56" s="2" t="s">
        <v>35</v>
      </c>
      <c r="C56" s="4" t="s">
        <v>36</v>
      </c>
      <c r="D56" s="4"/>
      <c r="E56" s="4"/>
      <c r="F56" s="3">
        <v>500</v>
      </c>
      <c r="G56" s="6">
        <v>500</v>
      </c>
    </row>
    <row r="57" spans="1:7" x14ac:dyDescent="0.3">
      <c r="A57" s="5">
        <v>2</v>
      </c>
      <c r="B57" s="2" t="s">
        <v>37</v>
      </c>
      <c r="C57" s="4" t="s">
        <v>9</v>
      </c>
      <c r="D57" s="4"/>
      <c r="E57" s="4"/>
      <c r="F57" s="3">
        <v>500</v>
      </c>
      <c r="G57" s="6">
        <v>500</v>
      </c>
    </row>
    <row r="58" spans="1:7" ht="15" thickBot="1" x14ac:dyDescent="0.35">
      <c r="A58" s="11"/>
      <c r="B58" s="12"/>
      <c r="C58" s="12"/>
      <c r="D58" s="12"/>
      <c r="E58" s="12"/>
      <c r="F58" s="12"/>
      <c r="G58" s="13"/>
    </row>
    <row r="59" spans="1:7" ht="15" thickBot="1" x14ac:dyDescent="0.35">
      <c r="A59" s="14" t="s">
        <v>40</v>
      </c>
      <c r="B59" s="15"/>
      <c r="C59" s="15"/>
      <c r="D59" s="15"/>
      <c r="E59" s="15"/>
      <c r="F59" s="15"/>
      <c r="G59" s="16"/>
    </row>
    <row r="60" spans="1:7" x14ac:dyDescent="0.3">
      <c r="A60" s="17" t="s">
        <v>32</v>
      </c>
      <c r="B60" s="18" t="s">
        <v>3</v>
      </c>
      <c r="C60" s="20" t="s">
        <v>33</v>
      </c>
      <c r="D60" s="20"/>
      <c r="E60" s="20"/>
      <c r="F60" s="18" t="s">
        <v>6</v>
      </c>
      <c r="G60" s="19" t="s">
        <v>34</v>
      </c>
    </row>
    <row r="61" spans="1:7" x14ac:dyDescent="0.3">
      <c r="A61" s="5">
        <v>1</v>
      </c>
      <c r="B61" s="2" t="s">
        <v>61</v>
      </c>
      <c r="C61" s="29" t="s">
        <v>64</v>
      </c>
      <c r="D61" s="30"/>
      <c r="E61" s="31"/>
      <c r="F61" s="3">
        <v>0</v>
      </c>
      <c r="G61" s="6">
        <v>0</v>
      </c>
    </row>
    <row r="62" spans="1:7" x14ac:dyDescent="0.3">
      <c r="A62" s="7"/>
      <c r="B62" s="4"/>
      <c r="C62" s="4"/>
      <c r="D62" s="4"/>
      <c r="E62" s="4"/>
      <c r="F62" s="4"/>
      <c r="G62" s="6"/>
    </row>
    <row r="63" spans="1:7" ht="15" thickBot="1" x14ac:dyDescent="0.35">
      <c r="A63" s="26" t="s">
        <v>39</v>
      </c>
      <c r="B63" s="27"/>
      <c r="C63" s="27"/>
      <c r="D63" s="27"/>
      <c r="E63" s="27"/>
      <c r="F63" s="27"/>
      <c r="G63" s="28">
        <f>G37+G41+G42+G46+G47+G48+G52+G56+G57+G61</f>
        <v>8950</v>
      </c>
    </row>
    <row r="66" spans="1:7" ht="15" thickBot="1" x14ac:dyDescent="0.35"/>
    <row r="67" spans="1:7" ht="15" thickBot="1" x14ac:dyDescent="0.35">
      <c r="A67" s="8" t="s">
        <v>85</v>
      </c>
      <c r="B67" s="9"/>
      <c r="C67" s="9"/>
      <c r="D67" s="9"/>
      <c r="E67" s="9"/>
      <c r="F67" s="9"/>
      <c r="G67" s="10"/>
    </row>
    <row r="68" spans="1:7" ht="15" thickBot="1" x14ac:dyDescent="0.35">
      <c r="A68" s="14" t="s">
        <v>13</v>
      </c>
      <c r="B68" s="15"/>
      <c r="C68" s="15"/>
      <c r="D68" s="15"/>
      <c r="E68" s="15"/>
      <c r="F68" s="15"/>
      <c r="G68" s="16"/>
    </row>
    <row r="69" spans="1:7" x14ac:dyDescent="0.3">
      <c r="A69" s="17" t="s">
        <v>2</v>
      </c>
      <c r="B69" s="18" t="s">
        <v>3</v>
      </c>
      <c r="C69" s="18" t="s">
        <v>4</v>
      </c>
      <c r="D69" s="18" t="s">
        <v>5</v>
      </c>
      <c r="E69" s="18" t="s">
        <v>10</v>
      </c>
      <c r="F69" s="18" t="s">
        <v>11</v>
      </c>
      <c r="G69" s="19" t="s">
        <v>7</v>
      </c>
    </row>
    <row r="70" spans="1:7" x14ac:dyDescent="0.3">
      <c r="A70" s="5">
        <v>1</v>
      </c>
      <c r="B70" s="2" t="s">
        <v>1</v>
      </c>
      <c r="C70" s="2" t="s">
        <v>66</v>
      </c>
      <c r="D70" s="2" t="s">
        <v>9</v>
      </c>
      <c r="E70" s="2">
        <v>3</v>
      </c>
      <c r="F70" s="3">
        <v>75</v>
      </c>
      <c r="G70" s="6">
        <f>E70*F70</f>
        <v>225</v>
      </c>
    </row>
    <row r="71" spans="1:7" ht="15" thickBot="1" x14ac:dyDescent="0.35">
      <c r="A71" s="11"/>
      <c r="B71" s="12"/>
      <c r="C71" s="12"/>
      <c r="D71" s="12"/>
      <c r="E71" s="12"/>
      <c r="F71" s="12"/>
      <c r="G71" s="13"/>
    </row>
    <row r="72" spans="1:7" ht="15" thickBot="1" x14ac:dyDescent="0.35">
      <c r="A72" s="14" t="s">
        <v>12</v>
      </c>
      <c r="B72" s="15"/>
      <c r="C72" s="15"/>
      <c r="D72" s="15"/>
      <c r="E72" s="15"/>
      <c r="F72" s="15"/>
      <c r="G72" s="16"/>
    </row>
    <row r="73" spans="1:7" x14ac:dyDescent="0.3">
      <c r="A73" s="17" t="s">
        <v>2</v>
      </c>
      <c r="B73" s="18" t="s">
        <v>3</v>
      </c>
      <c r="C73" s="18" t="s">
        <v>14</v>
      </c>
      <c r="D73" s="18" t="s">
        <v>15</v>
      </c>
      <c r="E73" s="18" t="s">
        <v>16</v>
      </c>
      <c r="F73" s="18" t="s">
        <v>17</v>
      </c>
      <c r="G73" s="19" t="s">
        <v>7</v>
      </c>
    </row>
    <row r="74" spans="1:7" x14ac:dyDescent="0.3">
      <c r="A74" s="5">
        <v>1</v>
      </c>
      <c r="B74" s="2" t="s">
        <v>18</v>
      </c>
      <c r="C74" s="2">
        <v>2</v>
      </c>
      <c r="D74" s="3">
        <v>1500</v>
      </c>
      <c r="E74" s="2">
        <v>12</v>
      </c>
      <c r="F74" s="3">
        <v>400</v>
      </c>
      <c r="G74" s="6">
        <f>F74*E74+D74</f>
        <v>6300</v>
      </c>
    </row>
    <row r="75" spans="1:7" x14ac:dyDescent="0.3">
      <c r="A75" s="5"/>
      <c r="B75" s="2"/>
      <c r="C75" s="2"/>
      <c r="D75" s="3"/>
      <c r="E75" s="2"/>
      <c r="F75" s="3"/>
      <c r="G75" s="6"/>
    </row>
    <row r="76" spans="1:7" ht="15" thickBot="1" x14ac:dyDescent="0.35">
      <c r="A76" s="11"/>
      <c r="B76" s="12"/>
      <c r="C76" s="12"/>
      <c r="D76" s="12"/>
      <c r="E76" s="12"/>
      <c r="F76" s="12"/>
      <c r="G76" s="13"/>
    </row>
    <row r="77" spans="1:7" ht="15" thickBot="1" x14ac:dyDescent="0.35">
      <c r="A77" s="14" t="s">
        <v>19</v>
      </c>
      <c r="B77" s="15"/>
      <c r="C77" s="15"/>
      <c r="D77" s="15"/>
      <c r="E77" s="15"/>
      <c r="F77" s="15"/>
      <c r="G77" s="16"/>
    </row>
    <row r="78" spans="1:7" x14ac:dyDescent="0.3">
      <c r="A78" s="17" t="s">
        <v>2</v>
      </c>
      <c r="B78" s="18" t="s">
        <v>3</v>
      </c>
      <c r="C78" s="20" t="s">
        <v>9</v>
      </c>
      <c r="D78" s="20"/>
      <c r="E78" s="20"/>
      <c r="F78" s="18" t="s">
        <v>6</v>
      </c>
      <c r="G78" s="19" t="s">
        <v>7</v>
      </c>
    </row>
    <row r="79" spans="1:7" x14ac:dyDescent="0.3">
      <c r="A79" s="5">
        <v>1</v>
      </c>
      <c r="B79" s="2" t="s">
        <v>60</v>
      </c>
      <c r="C79" s="4" t="s">
        <v>67</v>
      </c>
      <c r="D79" s="4"/>
      <c r="E79" s="4"/>
      <c r="F79" s="3">
        <v>0</v>
      </c>
      <c r="G79" s="6">
        <f>F79</f>
        <v>0</v>
      </c>
    </row>
    <row r="80" spans="1:7" x14ac:dyDescent="0.3">
      <c r="A80" s="5">
        <v>2</v>
      </c>
      <c r="B80" s="2" t="s">
        <v>68</v>
      </c>
      <c r="C80" s="4" t="s">
        <v>9</v>
      </c>
      <c r="D80" s="4"/>
      <c r="E80" s="4"/>
      <c r="F80" s="3">
        <v>1000</v>
      </c>
      <c r="G80" s="6">
        <f t="shared" ref="G80" si="2">F80</f>
        <v>1000</v>
      </c>
    </row>
    <row r="81" spans="1:7" x14ac:dyDescent="0.3">
      <c r="A81" s="5"/>
      <c r="B81" s="2"/>
      <c r="C81" s="4"/>
      <c r="D81" s="4"/>
      <c r="E81" s="4"/>
      <c r="F81" s="3"/>
      <c r="G81" s="6"/>
    </row>
    <row r="82" spans="1:7" ht="15" thickBot="1" x14ac:dyDescent="0.35">
      <c r="A82" s="11"/>
      <c r="B82" s="12"/>
      <c r="C82" s="12"/>
      <c r="D82" s="12"/>
      <c r="E82" s="12"/>
      <c r="F82" s="12"/>
      <c r="G82" s="13"/>
    </row>
    <row r="83" spans="1:7" ht="15" thickBot="1" x14ac:dyDescent="0.35">
      <c r="A83" s="14" t="s">
        <v>24</v>
      </c>
      <c r="B83" s="15"/>
      <c r="C83" s="15"/>
      <c r="D83" s="15"/>
      <c r="E83" s="15"/>
      <c r="F83" s="15"/>
      <c r="G83" s="16"/>
    </row>
    <row r="84" spans="1:7" x14ac:dyDescent="0.3">
      <c r="A84" s="17" t="s">
        <v>2</v>
      </c>
      <c r="B84" s="18" t="s">
        <v>3</v>
      </c>
      <c r="C84" s="21" t="s">
        <v>27</v>
      </c>
      <c r="D84" s="21" t="s">
        <v>28</v>
      </c>
      <c r="E84" s="21" t="s">
        <v>29</v>
      </c>
      <c r="F84" s="18" t="s">
        <v>30</v>
      </c>
      <c r="G84" s="19" t="s">
        <v>7</v>
      </c>
    </row>
    <row r="85" spans="1:7" x14ac:dyDescent="0.3">
      <c r="A85" s="5">
        <v>1</v>
      </c>
      <c r="B85" s="2" t="s">
        <v>26</v>
      </c>
      <c r="C85" s="2" t="s">
        <v>9</v>
      </c>
      <c r="D85" s="2" t="s">
        <v>9</v>
      </c>
      <c r="E85" s="2" t="s">
        <v>9</v>
      </c>
      <c r="F85" s="3">
        <v>500</v>
      </c>
      <c r="G85" s="6">
        <v>500</v>
      </c>
    </row>
    <row r="86" spans="1:7" ht="15" thickBot="1" x14ac:dyDescent="0.35">
      <c r="A86" s="11"/>
      <c r="B86" s="12"/>
      <c r="C86" s="12"/>
      <c r="D86" s="12"/>
      <c r="E86" s="12"/>
      <c r="F86" s="12"/>
      <c r="G86" s="13"/>
    </row>
    <row r="87" spans="1:7" ht="15" thickBot="1" x14ac:dyDescent="0.35">
      <c r="A87" s="14" t="s">
        <v>31</v>
      </c>
      <c r="B87" s="15"/>
      <c r="C87" s="15"/>
      <c r="D87" s="15"/>
      <c r="E87" s="15"/>
      <c r="F87" s="15"/>
      <c r="G87" s="16"/>
    </row>
    <row r="88" spans="1:7" x14ac:dyDescent="0.3">
      <c r="A88" s="17" t="s">
        <v>32</v>
      </c>
      <c r="B88" s="18" t="s">
        <v>3</v>
      </c>
      <c r="C88" s="20" t="s">
        <v>33</v>
      </c>
      <c r="D88" s="20"/>
      <c r="E88" s="20"/>
      <c r="F88" s="18" t="s">
        <v>6</v>
      </c>
      <c r="G88" s="19" t="s">
        <v>34</v>
      </c>
    </row>
    <row r="89" spans="1:7" x14ac:dyDescent="0.3">
      <c r="A89" s="5">
        <v>1</v>
      </c>
      <c r="B89" s="2" t="s">
        <v>35</v>
      </c>
      <c r="C89" s="4" t="s">
        <v>36</v>
      </c>
      <c r="D89" s="4"/>
      <c r="E89" s="4"/>
      <c r="F89" s="3">
        <v>500</v>
      </c>
      <c r="G89" s="6">
        <v>500</v>
      </c>
    </row>
    <row r="90" spans="1:7" x14ac:dyDescent="0.3">
      <c r="A90" s="5">
        <v>2</v>
      </c>
      <c r="B90" s="2" t="s">
        <v>37</v>
      </c>
      <c r="C90" s="4" t="s">
        <v>9</v>
      </c>
      <c r="D90" s="4"/>
      <c r="E90" s="4"/>
      <c r="F90" s="3">
        <v>500</v>
      </c>
      <c r="G90" s="6">
        <v>500</v>
      </c>
    </row>
    <row r="91" spans="1:7" ht="15" thickBot="1" x14ac:dyDescent="0.35">
      <c r="A91" s="11"/>
      <c r="B91" s="12"/>
      <c r="C91" s="12"/>
      <c r="D91" s="12"/>
      <c r="E91" s="12"/>
      <c r="F91" s="12"/>
      <c r="G91" s="13"/>
    </row>
    <row r="92" spans="1:7" ht="15" thickBot="1" x14ac:dyDescent="0.35">
      <c r="A92" s="14" t="s">
        <v>40</v>
      </c>
      <c r="B92" s="15"/>
      <c r="C92" s="15"/>
      <c r="D92" s="15"/>
      <c r="E92" s="15"/>
      <c r="F92" s="15"/>
      <c r="G92" s="16"/>
    </row>
    <row r="93" spans="1:7" x14ac:dyDescent="0.3">
      <c r="A93" s="17" t="s">
        <v>32</v>
      </c>
      <c r="B93" s="18" t="s">
        <v>3</v>
      </c>
      <c r="C93" s="20" t="s">
        <v>33</v>
      </c>
      <c r="D93" s="20"/>
      <c r="E93" s="20"/>
      <c r="F93" s="18" t="s">
        <v>6</v>
      </c>
      <c r="G93" s="19" t="s">
        <v>34</v>
      </c>
    </row>
    <row r="94" spans="1:7" x14ac:dyDescent="0.3">
      <c r="A94" s="5">
        <v>1</v>
      </c>
      <c r="B94" s="2" t="s">
        <v>61</v>
      </c>
      <c r="C94" s="29" t="s">
        <v>64</v>
      </c>
      <c r="D94" s="30"/>
      <c r="E94" s="31"/>
      <c r="F94" s="3">
        <v>0</v>
      </c>
      <c r="G94" s="6">
        <v>0</v>
      </c>
    </row>
    <row r="95" spans="1:7" x14ac:dyDescent="0.3">
      <c r="A95" s="7"/>
      <c r="B95" s="4"/>
      <c r="C95" s="4"/>
      <c r="D95" s="4"/>
      <c r="E95" s="4"/>
      <c r="F95" s="4"/>
      <c r="G95" s="6"/>
    </row>
    <row r="96" spans="1:7" ht="15" thickBot="1" x14ac:dyDescent="0.35">
      <c r="A96" s="26" t="s">
        <v>39</v>
      </c>
      <c r="B96" s="27"/>
      <c r="C96" s="27"/>
      <c r="D96" s="27"/>
      <c r="E96" s="27"/>
      <c r="F96" s="27"/>
      <c r="G96" s="28">
        <f>G70+G74+G75+G79+G80+G81+G85+G89+G90+G94</f>
        <v>9025</v>
      </c>
    </row>
    <row r="99" spans="1:7" ht="15" thickBot="1" x14ac:dyDescent="0.35"/>
    <row r="100" spans="1:7" ht="15" thickBot="1" x14ac:dyDescent="0.35">
      <c r="A100" s="8" t="s">
        <v>86</v>
      </c>
      <c r="B100" s="9"/>
      <c r="C100" s="9"/>
      <c r="D100" s="9"/>
      <c r="E100" s="9"/>
      <c r="F100" s="9"/>
      <c r="G100" s="10"/>
    </row>
    <row r="101" spans="1:7" ht="15" thickBot="1" x14ac:dyDescent="0.35">
      <c r="A101" s="14" t="s">
        <v>13</v>
      </c>
      <c r="B101" s="15"/>
      <c r="C101" s="15"/>
      <c r="D101" s="15"/>
      <c r="E101" s="15"/>
      <c r="F101" s="15"/>
      <c r="G101" s="16"/>
    </row>
    <row r="102" spans="1:7" x14ac:dyDescent="0.3">
      <c r="A102" s="17" t="s">
        <v>2</v>
      </c>
      <c r="B102" s="18" t="s">
        <v>3</v>
      </c>
      <c r="C102" s="18" t="s">
        <v>4</v>
      </c>
      <c r="D102" s="18" t="s">
        <v>5</v>
      </c>
      <c r="E102" s="18" t="s">
        <v>10</v>
      </c>
      <c r="F102" s="18" t="s">
        <v>11</v>
      </c>
      <c r="G102" s="19" t="s">
        <v>7</v>
      </c>
    </row>
    <row r="103" spans="1:7" x14ac:dyDescent="0.3">
      <c r="A103" s="5">
        <v>1</v>
      </c>
      <c r="B103" s="2" t="s">
        <v>1</v>
      </c>
      <c r="C103" s="2" t="s">
        <v>69</v>
      </c>
      <c r="D103" s="2" t="s">
        <v>9</v>
      </c>
      <c r="E103" s="2">
        <v>8</v>
      </c>
      <c r="F103" s="3">
        <v>75</v>
      </c>
      <c r="G103" s="6">
        <f>E103*F103</f>
        <v>600</v>
      </c>
    </row>
    <row r="104" spans="1:7" ht="15" thickBot="1" x14ac:dyDescent="0.35">
      <c r="A104" s="11"/>
      <c r="B104" s="12"/>
      <c r="C104" s="12"/>
      <c r="D104" s="12"/>
      <c r="E104" s="12"/>
      <c r="F104" s="12"/>
      <c r="G104" s="13"/>
    </row>
    <row r="105" spans="1:7" ht="15" thickBot="1" x14ac:dyDescent="0.35">
      <c r="A105" s="14" t="s">
        <v>12</v>
      </c>
      <c r="B105" s="15"/>
      <c r="C105" s="15"/>
      <c r="D105" s="15"/>
      <c r="E105" s="15"/>
      <c r="F105" s="15"/>
      <c r="G105" s="16"/>
    </row>
    <row r="106" spans="1:7" x14ac:dyDescent="0.3">
      <c r="A106" s="17" t="s">
        <v>2</v>
      </c>
      <c r="B106" s="18" t="s">
        <v>3</v>
      </c>
      <c r="C106" s="18" t="s">
        <v>14</v>
      </c>
      <c r="D106" s="18" t="s">
        <v>15</v>
      </c>
      <c r="E106" s="18" t="s">
        <v>16</v>
      </c>
      <c r="F106" s="18" t="s">
        <v>17</v>
      </c>
      <c r="G106" s="19" t="s">
        <v>7</v>
      </c>
    </row>
    <row r="107" spans="1:7" x14ac:dyDescent="0.3">
      <c r="A107" s="5">
        <v>1</v>
      </c>
      <c r="B107" s="2" t="s">
        <v>18</v>
      </c>
      <c r="C107" s="2">
        <v>2</v>
      </c>
      <c r="D107" s="3">
        <v>1500</v>
      </c>
      <c r="E107" s="2">
        <v>12</v>
      </c>
      <c r="F107" s="3">
        <v>400</v>
      </c>
      <c r="G107" s="6">
        <f>F107*E107+D107</f>
        <v>6300</v>
      </c>
    </row>
    <row r="108" spans="1:7" x14ac:dyDescent="0.3">
      <c r="A108" s="5">
        <v>2</v>
      </c>
      <c r="B108" s="2" t="s">
        <v>70</v>
      </c>
      <c r="C108" s="2">
        <v>1</v>
      </c>
      <c r="D108" s="3">
        <v>750</v>
      </c>
      <c r="E108" s="2">
        <v>8</v>
      </c>
      <c r="F108" s="3">
        <v>400</v>
      </c>
      <c r="G108" s="6">
        <f>F108*E108</f>
        <v>3200</v>
      </c>
    </row>
    <row r="109" spans="1:7" x14ac:dyDescent="0.3">
      <c r="A109" s="22">
        <v>3</v>
      </c>
      <c r="B109" s="23" t="s">
        <v>20</v>
      </c>
      <c r="C109" s="23">
        <v>2</v>
      </c>
      <c r="D109" s="24">
        <v>500</v>
      </c>
      <c r="E109" s="23">
        <v>3</v>
      </c>
      <c r="F109" s="24">
        <v>500</v>
      </c>
      <c r="G109" s="25">
        <v>2000</v>
      </c>
    </row>
    <row r="110" spans="1:7" ht="15" thickBot="1" x14ac:dyDescent="0.35">
      <c r="A110" s="11"/>
      <c r="B110" s="12"/>
      <c r="C110" s="12"/>
      <c r="D110" s="12"/>
      <c r="E110" s="12"/>
      <c r="F110" s="12"/>
      <c r="G110" s="13"/>
    </row>
    <row r="111" spans="1:7" ht="15" thickBot="1" x14ac:dyDescent="0.35">
      <c r="A111" s="14" t="s">
        <v>19</v>
      </c>
      <c r="B111" s="15"/>
      <c r="C111" s="15"/>
      <c r="D111" s="15"/>
      <c r="E111" s="15"/>
      <c r="F111" s="15"/>
      <c r="G111" s="16"/>
    </row>
    <row r="112" spans="1:7" x14ac:dyDescent="0.3">
      <c r="A112" s="17" t="s">
        <v>2</v>
      </c>
      <c r="B112" s="18" t="s">
        <v>3</v>
      </c>
      <c r="C112" s="20" t="s">
        <v>9</v>
      </c>
      <c r="D112" s="20"/>
      <c r="E112" s="20"/>
      <c r="F112" s="18" t="s">
        <v>6</v>
      </c>
      <c r="G112" s="19" t="s">
        <v>7</v>
      </c>
    </row>
    <row r="113" spans="1:7" x14ac:dyDescent="0.3">
      <c r="A113" s="5">
        <v>1</v>
      </c>
      <c r="B113" s="2" t="s">
        <v>71</v>
      </c>
      <c r="C113" s="4" t="s">
        <v>9</v>
      </c>
      <c r="D113" s="4"/>
      <c r="E113" s="4"/>
      <c r="F113" s="3">
        <v>1500</v>
      </c>
      <c r="G113" s="6">
        <f>F113</f>
        <v>1500</v>
      </c>
    </row>
    <row r="114" spans="1:7" x14ac:dyDescent="0.3">
      <c r="A114" s="5">
        <v>2</v>
      </c>
      <c r="B114" s="2" t="s">
        <v>21</v>
      </c>
      <c r="C114" s="4" t="s">
        <v>9</v>
      </c>
      <c r="D114" s="4"/>
      <c r="E114" s="4"/>
      <c r="F114" s="3">
        <v>1000</v>
      </c>
      <c r="G114" s="6">
        <f t="shared" ref="G114" si="3">F114</f>
        <v>1000</v>
      </c>
    </row>
    <row r="115" spans="1:7" x14ac:dyDescent="0.3">
      <c r="A115" s="5">
        <v>3</v>
      </c>
      <c r="B115" s="2" t="s">
        <v>22</v>
      </c>
      <c r="C115" s="4" t="s">
        <v>9</v>
      </c>
      <c r="D115" s="4"/>
      <c r="E115" s="4"/>
      <c r="F115" s="3">
        <v>1000</v>
      </c>
      <c r="G115" s="6">
        <v>1000</v>
      </c>
    </row>
    <row r="116" spans="1:7" ht="15" thickBot="1" x14ac:dyDescent="0.35">
      <c r="A116" s="11"/>
      <c r="B116" s="12"/>
      <c r="C116" s="12"/>
      <c r="D116" s="12"/>
      <c r="E116" s="12"/>
      <c r="F116" s="12"/>
      <c r="G116" s="13"/>
    </row>
    <row r="117" spans="1:7" ht="15" thickBot="1" x14ac:dyDescent="0.35">
      <c r="A117" s="14" t="s">
        <v>24</v>
      </c>
      <c r="B117" s="15"/>
      <c r="C117" s="15"/>
      <c r="D117" s="15"/>
      <c r="E117" s="15"/>
      <c r="F117" s="15"/>
      <c r="G117" s="16"/>
    </row>
    <row r="118" spans="1:7" x14ac:dyDescent="0.3">
      <c r="A118" s="17" t="s">
        <v>2</v>
      </c>
      <c r="B118" s="18" t="s">
        <v>3</v>
      </c>
      <c r="C118" s="21" t="s">
        <v>27</v>
      </c>
      <c r="D118" s="21" t="s">
        <v>28</v>
      </c>
      <c r="E118" s="21" t="s">
        <v>29</v>
      </c>
      <c r="F118" s="18" t="s">
        <v>30</v>
      </c>
      <c r="G118" s="19" t="s">
        <v>7</v>
      </c>
    </row>
    <row r="119" spans="1:7" x14ac:dyDescent="0.3">
      <c r="A119" s="5">
        <v>1</v>
      </c>
      <c r="B119" s="2" t="s">
        <v>26</v>
      </c>
      <c r="C119" s="2" t="s">
        <v>9</v>
      </c>
      <c r="D119" s="2" t="s">
        <v>9</v>
      </c>
      <c r="E119" s="2" t="s">
        <v>9</v>
      </c>
      <c r="F119" s="3">
        <v>500</v>
      </c>
      <c r="G119" s="6">
        <v>500</v>
      </c>
    </row>
    <row r="120" spans="1:7" ht="15" thickBot="1" x14ac:dyDescent="0.35">
      <c r="A120" s="11"/>
      <c r="B120" s="12"/>
      <c r="C120" s="12"/>
      <c r="D120" s="12"/>
      <c r="E120" s="12"/>
      <c r="F120" s="12"/>
      <c r="G120" s="13"/>
    </row>
    <row r="121" spans="1:7" ht="15" thickBot="1" x14ac:dyDescent="0.35">
      <c r="A121" s="14" t="s">
        <v>31</v>
      </c>
      <c r="B121" s="15"/>
      <c r="C121" s="15"/>
      <c r="D121" s="15"/>
      <c r="E121" s="15"/>
      <c r="F121" s="15"/>
      <c r="G121" s="16"/>
    </row>
    <row r="122" spans="1:7" x14ac:dyDescent="0.3">
      <c r="A122" s="17" t="s">
        <v>32</v>
      </c>
      <c r="B122" s="18" t="s">
        <v>3</v>
      </c>
      <c r="C122" s="20" t="s">
        <v>33</v>
      </c>
      <c r="D122" s="20"/>
      <c r="E122" s="20"/>
      <c r="F122" s="18" t="s">
        <v>6</v>
      </c>
      <c r="G122" s="19" t="s">
        <v>34</v>
      </c>
    </row>
    <row r="123" spans="1:7" x14ac:dyDescent="0.3">
      <c r="A123" s="5">
        <v>1</v>
      </c>
      <c r="B123" s="2" t="s">
        <v>35</v>
      </c>
      <c r="C123" s="4" t="s">
        <v>36</v>
      </c>
      <c r="D123" s="4"/>
      <c r="E123" s="4"/>
      <c r="F123" s="3">
        <v>500</v>
      </c>
      <c r="G123" s="6">
        <v>500</v>
      </c>
    </row>
    <row r="124" spans="1:7" x14ac:dyDescent="0.3">
      <c r="A124" s="5">
        <v>2</v>
      </c>
      <c r="B124" s="2" t="s">
        <v>37</v>
      </c>
      <c r="C124" s="4" t="s">
        <v>9</v>
      </c>
      <c r="D124" s="4"/>
      <c r="E124" s="4"/>
      <c r="F124" s="3">
        <v>500</v>
      </c>
      <c r="G124" s="6">
        <v>500</v>
      </c>
    </row>
    <row r="125" spans="1:7" ht="15" thickBot="1" x14ac:dyDescent="0.35">
      <c r="A125" s="11"/>
      <c r="B125" s="12"/>
      <c r="C125" s="12"/>
      <c r="D125" s="12"/>
      <c r="E125" s="12"/>
      <c r="F125" s="12"/>
      <c r="G125" s="13"/>
    </row>
    <row r="126" spans="1:7" ht="15" thickBot="1" x14ac:dyDescent="0.35">
      <c r="A126" s="14" t="s">
        <v>40</v>
      </c>
      <c r="B126" s="15"/>
      <c r="C126" s="15"/>
      <c r="D126" s="15"/>
      <c r="E126" s="15"/>
      <c r="F126" s="15"/>
      <c r="G126" s="16"/>
    </row>
    <row r="127" spans="1:7" x14ac:dyDescent="0.3">
      <c r="A127" s="17" t="s">
        <v>32</v>
      </c>
      <c r="B127" s="18" t="s">
        <v>3</v>
      </c>
      <c r="C127" s="20" t="s">
        <v>33</v>
      </c>
      <c r="D127" s="20"/>
      <c r="E127" s="20"/>
      <c r="F127" s="18" t="s">
        <v>6</v>
      </c>
      <c r="G127" s="19" t="s">
        <v>34</v>
      </c>
    </row>
    <row r="128" spans="1:7" x14ac:dyDescent="0.3">
      <c r="A128" s="5">
        <v>1</v>
      </c>
      <c r="B128" s="2" t="s">
        <v>61</v>
      </c>
      <c r="C128" s="29" t="s">
        <v>64</v>
      </c>
      <c r="D128" s="30"/>
      <c r="E128" s="31"/>
      <c r="F128" s="3">
        <v>0</v>
      </c>
      <c r="G128" s="6">
        <v>0</v>
      </c>
    </row>
    <row r="129" spans="1:7" x14ac:dyDescent="0.3">
      <c r="A129" s="7"/>
      <c r="B129" s="4"/>
      <c r="C129" s="4"/>
      <c r="D129" s="4"/>
      <c r="E129" s="4"/>
      <c r="F129" s="4"/>
      <c r="G129" s="6"/>
    </row>
    <row r="130" spans="1:7" ht="15" thickBot="1" x14ac:dyDescent="0.35">
      <c r="A130" s="26" t="s">
        <v>39</v>
      </c>
      <c r="B130" s="27"/>
      <c r="C130" s="27"/>
      <c r="D130" s="27"/>
      <c r="E130" s="27"/>
      <c r="F130" s="27"/>
      <c r="G130" s="28">
        <f>G103+G107+G108+G113+G114+G115+G119+G123+G124+G128+G109</f>
        <v>17100</v>
      </c>
    </row>
    <row r="133" spans="1:7" ht="15" thickBot="1" x14ac:dyDescent="0.35"/>
    <row r="134" spans="1:7" ht="15" thickBot="1" x14ac:dyDescent="0.35">
      <c r="A134" s="8" t="s">
        <v>75</v>
      </c>
      <c r="B134" s="9"/>
      <c r="C134" s="9"/>
      <c r="D134" s="9"/>
      <c r="E134" s="9"/>
      <c r="F134" s="9"/>
      <c r="G134" s="10"/>
    </row>
    <row r="135" spans="1:7" ht="15" thickBot="1" x14ac:dyDescent="0.35">
      <c r="A135" s="14" t="s">
        <v>13</v>
      </c>
      <c r="B135" s="15"/>
      <c r="C135" s="15"/>
      <c r="D135" s="15"/>
      <c r="E135" s="15"/>
      <c r="F135" s="15"/>
      <c r="G135" s="16"/>
    </row>
    <row r="136" spans="1:7" x14ac:dyDescent="0.3">
      <c r="A136" s="17" t="s">
        <v>2</v>
      </c>
      <c r="B136" s="18" t="s">
        <v>3</v>
      </c>
      <c r="C136" s="18" t="s">
        <v>4</v>
      </c>
      <c r="D136" s="18" t="s">
        <v>5</v>
      </c>
      <c r="E136" s="18" t="s">
        <v>10</v>
      </c>
      <c r="F136" s="18" t="s">
        <v>11</v>
      </c>
      <c r="G136" s="19" t="s">
        <v>7</v>
      </c>
    </row>
    <row r="137" spans="1:7" x14ac:dyDescent="0.3">
      <c r="A137" s="5">
        <v>1</v>
      </c>
      <c r="B137" s="2" t="s">
        <v>1</v>
      </c>
      <c r="C137" s="2" t="s">
        <v>66</v>
      </c>
      <c r="D137" s="2" t="s">
        <v>9</v>
      </c>
      <c r="E137" s="2">
        <v>2</v>
      </c>
      <c r="F137" s="3">
        <v>75</v>
      </c>
      <c r="G137" s="6">
        <f>E137*F137</f>
        <v>150</v>
      </c>
    </row>
    <row r="138" spans="1:7" ht="15" thickBot="1" x14ac:dyDescent="0.35">
      <c r="A138" s="11"/>
      <c r="B138" s="12"/>
      <c r="C138" s="12"/>
      <c r="D138" s="12"/>
      <c r="E138" s="12"/>
      <c r="F138" s="12"/>
      <c r="G138" s="13"/>
    </row>
    <row r="139" spans="1:7" ht="15" thickBot="1" x14ac:dyDescent="0.35">
      <c r="A139" s="14" t="s">
        <v>12</v>
      </c>
      <c r="B139" s="15"/>
      <c r="C139" s="15"/>
      <c r="D139" s="15"/>
      <c r="E139" s="15"/>
      <c r="F139" s="15"/>
      <c r="G139" s="16"/>
    </row>
    <row r="140" spans="1:7" x14ac:dyDescent="0.3">
      <c r="A140" s="17" t="s">
        <v>2</v>
      </c>
      <c r="B140" s="18" t="s">
        <v>3</v>
      </c>
      <c r="C140" s="18" t="s">
        <v>14</v>
      </c>
      <c r="D140" s="18" t="s">
        <v>15</v>
      </c>
      <c r="E140" s="18" t="s">
        <v>16</v>
      </c>
      <c r="F140" s="18" t="s">
        <v>17</v>
      </c>
      <c r="G140" s="19" t="s">
        <v>7</v>
      </c>
    </row>
    <row r="141" spans="1:7" x14ac:dyDescent="0.3">
      <c r="A141" s="5">
        <v>1</v>
      </c>
      <c r="B141" s="2" t="s">
        <v>18</v>
      </c>
      <c r="C141" s="2">
        <v>6</v>
      </c>
      <c r="D141" s="3">
        <v>3000</v>
      </c>
      <c r="E141" s="2">
        <v>15</v>
      </c>
      <c r="F141" s="3">
        <v>400</v>
      </c>
      <c r="G141" s="6">
        <f>F141*E141+D141</f>
        <v>9000</v>
      </c>
    </row>
    <row r="142" spans="1:7" x14ac:dyDescent="0.3">
      <c r="A142" s="22">
        <v>2</v>
      </c>
      <c r="B142" s="23" t="s">
        <v>20</v>
      </c>
      <c r="C142" s="23">
        <v>2</v>
      </c>
      <c r="D142" s="24">
        <v>500</v>
      </c>
      <c r="E142" s="23">
        <v>2</v>
      </c>
      <c r="F142" s="24">
        <v>500</v>
      </c>
      <c r="G142" s="6">
        <f>F142*E142+D142</f>
        <v>1500</v>
      </c>
    </row>
    <row r="143" spans="1:7" x14ac:dyDescent="0.3">
      <c r="A143" s="22"/>
      <c r="B143" s="23"/>
      <c r="C143" s="23"/>
      <c r="D143" s="24"/>
      <c r="E143" s="23"/>
      <c r="F143" s="24"/>
      <c r="G143" s="25"/>
    </row>
    <row r="144" spans="1:7" ht="15" thickBot="1" x14ac:dyDescent="0.35">
      <c r="A144" s="11"/>
      <c r="B144" s="12"/>
      <c r="C144" s="12"/>
      <c r="D144" s="12"/>
      <c r="E144" s="12"/>
      <c r="F144" s="12"/>
      <c r="G144" s="13"/>
    </row>
    <row r="145" spans="1:7" ht="15" thickBot="1" x14ac:dyDescent="0.35">
      <c r="A145" s="14" t="s">
        <v>19</v>
      </c>
      <c r="B145" s="15"/>
      <c r="C145" s="15"/>
      <c r="D145" s="15"/>
      <c r="E145" s="15"/>
      <c r="F145" s="15"/>
      <c r="G145" s="16"/>
    </row>
    <row r="146" spans="1:7" x14ac:dyDescent="0.3">
      <c r="A146" s="17" t="s">
        <v>2</v>
      </c>
      <c r="B146" s="18" t="s">
        <v>3</v>
      </c>
      <c r="C146" s="20" t="s">
        <v>9</v>
      </c>
      <c r="D146" s="20"/>
      <c r="E146" s="20"/>
      <c r="F146" s="18" t="s">
        <v>6</v>
      </c>
      <c r="G146" s="19" t="s">
        <v>7</v>
      </c>
    </row>
    <row r="147" spans="1:7" x14ac:dyDescent="0.3">
      <c r="A147" s="5">
        <v>1</v>
      </c>
      <c r="B147" s="2" t="s">
        <v>71</v>
      </c>
      <c r="C147" s="4" t="s">
        <v>72</v>
      </c>
      <c r="D147" s="4"/>
      <c r="E147" s="4"/>
      <c r="F147" s="3">
        <v>0</v>
      </c>
      <c r="G147" s="6">
        <f>F147</f>
        <v>0</v>
      </c>
    </row>
    <row r="148" spans="1:7" x14ac:dyDescent="0.3">
      <c r="A148" s="5">
        <v>2</v>
      </c>
      <c r="B148" s="2" t="s">
        <v>21</v>
      </c>
      <c r="C148" s="4" t="s">
        <v>9</v>
      </c>
      <c r="D148" s="4"/>
      <c r="E148" s="4"/>
      <c r="F148" s="3">
        <v>500</v>
      </c>
      <c r="G148" s="6">
        <f t="shared" ref="G148" si="4">F148</f>
        <v>500</v>
      </c>
    </row>
    <row r="149" spans="1:7" x14ac:dyDescent="0.3">
      <c r="A149" s="5">
        <v>3</v>
      </c>
      <c r="B149" s="2" t="s">
        <v>22</v>
      </c>
      <c r="C149" s="4" t="s">
        <v>9</v>
      </c>
      <c r="D149" s="4"/>
      <c r="E149" s="4"/>
      <c r="F149" s="3">
        <v>500</v>
      </c>
      <c r="G149" s="6">
        <v>1000</v>
      </c>
    </row>
    <row r="150" spans="1:7" ht="15" thickBot="1" x14ac:dyDescent="0.35">
      <c r="A150" s="11"/>
      <c r="B150" s="12"/>
      <c r="C150" s="12"/>
      <c r="D150" s="12"/>
      <c r="E150" s="12"/>
      <c r="F150" s="12"/>
      <c r="G150" s="13"/>
    </row>
    <row r="151" spans="1:7" ht="15" thickBot="1" x14ac:dyDescent="0.35">
      <c r="A151" s="14" t="s">
        <v>24</v>
      </c>
      <c r="B151" s="15"/>
      <c r="C151" s="15"/>
      <c r="D151" s="15"/>
      <c r="E151" s="15"/>
      <c r="F151" s="15"/>
      <c r="G151" s="16"/>
    </row>
    <row r="152" spans="1:7" x14ac:dyDescent="0.3">
      <c r="A152" s="17" t="s">
        <v>2</v>
      </c>
      <c r="B152" s="18" t="s">
        <v>3</v>
      </c>
      <c r="C152" s="21" t="s">
        <v>27</v>
      </c>
      <c r="D152" s="21" t="s">
        <v>28</v>
      </c>
      <c r="E152" s="21" t="s">
        <v>29</v>
      </c>
      <c r="F152" s="18" t="s">
        <v>30</v>
      </c>
      <c r="G152" s="19" t="s">
        <v>7</v>
      </c>
    </row>
    <row r="153" spans="1:7" x14ac:dyDescent="0.3">
      <c r="A153" s="5">
        <v>1</v>
      </c>
      <c r="B153" s="2" t="s">
        <v>26</v>
      </c>
      <c r="C153" s="2" t="s">
        <v>9</v>
      </c>
      <c r="D153" s="2" t="s">
        <v>9</v>
      </c>
      <c r="E153" s="2" t="s">
        <v>9</v>
      </c>
      <c r="F153" s="3">
        <v>500</v>
      </c>
      <c r="G153" s="6">
        <v>500</v>
      </c>
    </row>
    <row r="154" spans="1:7" ht="15" thickBot="1" x14ac:dyDescent="0.35">
      <c r="A154" s="11"/>
      <c r="B154" s="12"/>
      <c r="C154" s="12"/>
      <c r="D154" s="12"/>
      <c r="E154" s="12"/>
      <c r="F154" s="12"/>
      <c r="G154" s="13"/>
    </row>
    <row r="155" spans="1:7" ht="15" thickBot="1" x14ac:dyDescent="0.35">
      <c r="A155" s="14" t="s">
        <v>31</v>
      </c>
      <c r="B155" s="15"/>
      <c r="C155" s="15"/>
      <c r="D155" s="15"/>
      <c r="E155" s="15"/>
      <c r="F155" s="15"/>
      <c r="G155" s="16"/>
    </row>
    <row r="156" spans="1:7" x14ac:dyDescent="0.3">
      <c r="A156" s="17" t="s">
        <v>32</v>
      </c>
      <c r="B156" s="18" t="s">
        <v>3</v>
      </c>
      <c r="C156" s="20" t="s">
        <v>33</v>
      </c>
      <c r="D156" s="20"/>
      <c r="E156" s="20"/>
      <c r="F156" s="18" t="s">
        <v>6</v>
      </c>
      <c r="G156" s="19" t="s">
        <v>34</v>
      </c>
    </row>
    <row r="157" spans="1:7" x14ac:dyDescent="0.3">
      <c r="A157" s="5">
        <v>1</v>
      </c>
      <c r="B157" s="2" t="s">
        <v>35</v>
      </c>
      <c r="C157" s="4" t="s">
        <v>36</v>
      </c>
      <c r="D157" s="4"/>
      <c r="E157" s="4"/>
      <c r="F157" s="3">
        <v>500</v>
      </c>
      <c r="G157" s="6">
        <v>500</v>
      </c>
    </row>
    <row r="158" spans="1:7" x14ac:dyDescent="0.3">
      <c r="A158" s="5">
        <v>2</v>
      </c>
      <c r="B158" s="2" t="s">
        <v>37</v>
      </c>
      <c r="C158" s="4" t="s">
        <v>9</v>
      </c>
      <c r="D158" s="4"/>
      <c r="E158" s="4"/>
      <c r="F158" s="3">
        <v>500</v>
      </c>
      <c r="G158" s="6">
        <v>500</v>
      </c>
    </row>
    <row r="159" spans="1:7" ht="15" thickBot="1" x14ac:dyDescent="0.35">
      <c r="A159" s="11"/>
      <c r="B159" s="12"/>
      <c r="C159" s="12"/>
      <c r="D159" s="12"/>
      <c r="E159" s="12"/>
      <c r="F159" s="12"/>
      <c r="G159" s="13"/>
    </row>
    <row r="160" spans="1:7" ht="15" thickBot="1" x14ac:dyDescent="0.35">
      <c r="A160" s="14" t="s">
        <v>40</v>
      </c>
      <c r="B160" s="15"/>
      <c r="C160" s="15"/>
      <c r="D160" s="15"/>
      <c r="E160" s="15"/>
      <c r="F160" s="15"/>
      <c r="G160" s="16"/>
    </row>
    <row r="161" spans="1:7" x14ac:dyDescent="0.3">
      <c r="A161" s="17" t="s">
        <v>32</v>
      </c>
      <c r="B161" s="18" t="s">
        <v>3</v>
      </c>
      <c r="C161" s="20" t="s">
        <v>33</v>
      </c>
      <c r="D161" s="20"/>
      <c r="E161" s="20"/>
      <c r="F161" s="18" t="s">
        <v>6</v>
      </c>
      <c r="G161" s="19" t="s">
        <v>34</v>
      </c>
    </row>
    <row r="162" spans="1:7" x14ac:dyDescent="0.3">
      <c r="A162" s="5">
        <v>1</v>
      </c>
      <c r="B162" s="2" t="s">
        <v>61</v>
      </c>
      <c r="C162" s="29" t="s">
        <v>64</v>
      </c>
      <c r="D162" s="30"/>
      <c r="E162" s="31"/>
      <c r="F162" s="3">
        <v>0</v>
      </c>
      <c r="G162" s="6">
        <v>0</v>
      </c>
    </row>
    <row r="163" spans="1:7" x14ac:dyDescent="0.3">
      <c r="A163" s="7"/>
      <c r="B163" s="4"/>
      <c r="C163" s="4"/>
      <c r="D163" s="4"/>
      <c r="E163" s="4"/>
      <c r="F163" s="4"/>
      <c r="G163" s="6"/>
    </row>
    <row r="164" spans="1:7" ht="15" thickBot="1" x14ac:dyDescent="0.35">
      <c r="A164" s="26" t="s">
        <v>39</v>
      </c>
      <c r="B164" s="27"/>
      <c r="C164" s="27"/>
      <c r="D164" s="27"/>
      <c r="E164" s="27"/>
      <c r="F164" s="27"/>
      <c r="G164" s="28">
        <f>G137+G141+G142+G147+G148+G149+G153+G157+G158+G162+G143</f>
        <v>13650</v>
      </c>
    </row>
    <row r="167" spans="1:7" ht="15" thickBot="1" x14ac:dyDescent="0.35"/>
    <row r="168" spans="1:7" ht="15" thickBot="1" x14ac:dyDescent="0.35">
      <c r="A168" s="8" t="s">
        <v>73</v>
      </c>
      <c r="B168" s="9"/>
      <c r="C168" s="9"/>
      <c r="D168" s="9"/>
      <c r="E168" s="9"/>
      <c r="F168" s="9"/>
      <c r="G168" s="10"/>
    </row>
    <row r="169" spans="1:7" ht="15" thickBot="1" x14ac:dyDescent="0.35">
      <c r="A169" s="14" t="s">
        <v>13</v>
      </c>
      <c r="B169" s="15"/>
      <c r="C169" s="15"/>
      <c r="D169" s="15"/>
      <c r="E169" s="15"/>
      <c r="F169" s="15"/>
      <c r="G169" s="16"/>
    </row>
    <row r="170" spans="1:7" x14ac:dyDescent="0.3">
      <c r="A170" s="17" t="s">
        <v>2</v>
      </c>
      <c r="B170" s="18" t="s">
        <v>3</v>
      </c>
      <c r="C170" s="18" t="s">
        <v>4</v>
      </c>
      <c r="D170" s="18" t="s">
        <v>5</v>
      </c>
      <c r="E170" s="18" t="s">
        <v>10</v>
      </c>
      <c r="F170" s="18" t="s">
        <v>11</v>
      </c>
      <c r="G170" s="19" t="s">
        <v>7</v>
      </c>
    </row>
    <row r="171" spans="1:7" x14ac:dyDescent="0.3">
      <c r="A171" s="5">
        <v>1</v>
      </c>
      <c r="B171" s="2" t="s">
        <v>1</v>
      </c>
      <c r="C171" s="2" t="s">
        <v>76</v>
      </c>
      <c r="D171" s="2" t="s">
        <v>9</v>
      </c>
      <c r="E171" s="2">
        <v>2</v>
      </c>
      <c r="F171" s="3">
        <v>75</v>
      </c>
      <c r="G171" s="6">
        <f>E171*F171</f>
        <v>150</v>
      </c>
    </row>
    <row r="172" spans="1:7" ht="15" thickBot="1" x14ac:dyDescent="0.35">
      <c r="A172" s="11"/>
      <c r="B172" s="12"/>
      <c r="C172" s="12"/>
      <c r="D172" s="12"/>
      <c r="E172" s="12"/>
      <c r="F172" s="12"/>
      <c r="G172" s="13"/>
    </row>
    <row r="173" spans="1:7" ht="15" thickBot="1" x14ac:dyDescent="0.35">
      <c r="A173" s="14" t="s">
        <v>12</v>
      </c>
      <c r="B173" s="15"/>
      <c r="C173" s="15"/>
      <c r="D173" s="15"/>
      <c r="E173" s="15"/>
      <c r="F173" s="15"/>
      <c r="G173" s="16"/>
    </row>
    <row r="174" spans="1:7" x14ac:dyDescent="0.3">
      <c r="A174" s="17" t="s">
        <v>2</v>
      </c>
      <c r="B174" s="18" t="s">
        <v>3</v>
      </c>
      <c r="C174" s="18" t="s">
        <v>14</v>
      </c>
      <c r="D174" s="18" t="s">
        <v>15</v>
      </c>
      <c r="E174" s="18" t="s">
        <v>16</v>
      </c>
      <c r="F174" s="18" t="s">
        <v>17</v>
      </c>
      <c r="G174" s="19" t="s">
        <v>7</v>
      </c>
    </row>
    <row r="175" spans="1:7" x14ac:dyDescent="0.3">
      <c r="A175" s="5">
        <v>1</v>
      </c>
      <c r="B175" s="2" t="s">
        <v>18</v>
      </c>
      <c r="C175" s="2">
        <v>3</v>
      </c>
      <c r="D175" s="3">
        <v>2000</v>
      </c>
      <c r="E175" s="2">
        <v>10</v>
      </c>
      <c r="F175" s="3">
        <v>400</v>
      </c>
      <c r="G175" s="6">
        <f>F175*E175+D175</f>
        <v>6000</v>
      </c>
    </row>
    <row r="176" spans="1:7" x14ac:dyDescent="0.3">
      <c r="A176" s="22"/>
      <c r="B176" s="23"/>
      <c r="C176" s="23"/>
      <c r="D176" s="24"/>
      <c r="E176" s="23"/>
      <c r="F176" s="24"/>
      <c r="G176" s="6"/>
    </row>
    <row r="177" spans="1:7" x14ac:dyDescent="0.3">
      <c r="A177" s="22"/>
      <c r="B177" s="23"/>
      <c r="C177" s="23"/>
      <c r="D177" s="24"/>
      <c r="E177" s="23"/>
      <c r="F177" s="24"/>
      <c r="G177" s="25"/>
    </row>
    <row r="178" spans="1:7" ht="15" thickBot="1" x14ac:dyDescent="0.35">
      <c r="A178" s="11"/>
      <c r="B178" s="12"/>
      <c r="C178" s="12"/>
      <c r="D178" s="12"/>
      <c r="E178" s="12"/>
      <c r="F178" s="12"/>
      <c r="G178" s="13"/>
    </row>
    <row r="179" spans="1:7" ht="15" thickBot="1" x14ac:dyDescent="0.35">
      <c r="A179" s="14" t="s">
        <v>19</v>
      </c>
      <c r="B179" s="15"/>
      <c r="C179" s="15"/>
      <c r="D179" s="15"/>
      <c r="E179" s="15"/>
      <c r="F179" s="15"/>
      <c r="G179" s="16"/>
    </row>
    <row r="180" spans="1:7" x14ac:dyDescent="0.3">
      <c r="A180" s="17" t="s">
        <v>2</v>
      </c>
      <c r="B180" s="18" t="s">
        <v>3</v>
      </c>
      <c r="C180" s="20" t="s">
        <v>9</v>
      </c>
      <c r="D180" s="20"/>
      <c r="E180" s="20"/>
      <c r="F180" s="18" t="s">
        <v>6</v>
      </c>
      <c r="G180" s="19" t="s">
        <v>7</v>
      </c>
    </row>
    <row r="181" spans="1:7" x14ac:dyDescent="0.3">
      <c r="A181" s="5">
        <v>1</v>
      </c>
      <c r="B181" s="2" t="s">
        <v>77</v>
      </c>
      <c r="C181" s="4" t="s">
        <v>9</v>
      </c>
      <c r="D181" s="4"/>
      <c r="E181" s="4"/>
      <c r="F181" s="3">
        <v>1500</v>
      </c>
      <c r="G181" s="6">
        <f>F181</f>
        <v>1500</v>
      </c>
    </row>
    <row r="182" spans="1:7" x14ac:dyDescent="0.3">
      <c r="A182" s="5">
        <v>2</v>
      </c>
      <c r="B182" s="2" t="s">
        <v>87</v>
      </c>
      <c r="C182" s="4" t="s">
        <v>9</v>
      </c>
      <c r="D182" s="4"/>
      <c r="E182" s="4"/>
      <c r="F182" s="3">
        <v>1000</v>
      </c>
      <c r="G182" s="6">
        <f t="shared" ref="G182" si="5">F182</f>
        <v>1000</v>
      </c>
    </row>
    <row r="183" spans="1:7" x14ac:dyDescent="0.3">
      <c r="A183" s="5"/>
      <c r="B183" s="2"/>
      <c r="C183" s="4"/>
      <c r="D183" s="4"/>
      <c r="E183" s="4"/>
      <c r="F183" s="3"/>
      <c r="G183" s="6"/>
    </row>
    <row r="184" spans="1:7" ht="15" thickBot="1" x14ac:dyDescent="0.35">
      <c r="A184" s="11"/>
      <c r="B184" s="12"/>
      <c r="C184" s="12"/>
      <c r="D184" s="12"/>
      <c r="E184" s="12"/>
      <c r="F184" s="12"/>
      <c r="G184" s="13"/>
    </row>
    <row r="185" spans="1:7" ht="15" thickBot="1" x14ac:dyDescent="0.35">
      <c r="A185" s="14" t="s">
        <v>24</v>
      </c>
      <c r="B185" s="15"/>
      <c r="C185" s="15"/>
      <c r="D185" s="15"/>
      <c r="E185" s="15"/>
      <c r="F185" s="15"/>
      <c r="G185" s="16"/>
    </row>
    <row r="186" spans="1:7" x14ac:dyDescent="0.3">
      <c r="A186" s="17" t="s">
        <v>2</v>
      </c>
      <c r="B186" s="18" t="s">
        <v>3</v>
      </c>
      <c r="C186" s="21" t="s">
        <v>27</v>
      </c>
      <c r="D186" s="21" t="s">
        <v>28</v>
      </c>
      <c r="E186" s="21" t="s">
        <v>29</v>
      </c>
      <c r="F186" s="18" t="s">
        <v>30</v>
      </c>
      <c r="G186" s="19" t="s">
        <v>7</v>
      </c>
    </row>
    <row r="187" spans="1:7" x14ac:dyDescent="0.3">
      <c r="A187" s="5">
        <v>1</v>
      </c>
      <c r="B187" s="2" t="s">
        <v>26</v>
      </c>
      <c r="C187" s="2" t="s">
        <v>9</v>
      </c>
      <c r="D187" s="2" t="s">
        <v>9</v>
      </c>
      <c r="E187" s="2" t="s">
        <v>9</v>
      </c>
      <c r="F187" s="3">
        <v>500</v>
      </c>
      <c r="G187" s="6">
        <v>500</v>
      </c>
    </row>
    <row r="188" spans="1:7" ht="15" thickBot="1" x14ac:dyDescent="0.35">
      <c r="A188" s="11"/>
      <c r="B188" s="12"/>
      <c r="C188" s="12"/>
      <c r="D188" s="12"/>
      <c r="E188" s="12"/>
      <c r="F188" s="12"/>
      <c r="G188" s="13"/>
    </row>
    <row r="189" spans="1:7" ht="15" thickBot="1" x14ac:dyDescent="0.35">
      <c r="A189" s="14" t="s">
        <v>31</v>
      </c>
      <c r="B189" s="15"/>
      <c r="C189" s="15"/>
      <c r="D189" s="15"/>
      <c r="E189" s="15"/>
      <c r="F189" s="15"/>
      <c r="G189" s="16"/>
    </row>
    <row r="190" spans="1:7" x14ac:dyDescent="0.3">
      <c r="A190" s="17" t="s">
        <v>32</v>
      </c>
      <c r="B190" s="18" t="s">
        <v>3</v>
      </c>
      <c r="C190" s="20" t="s">
        <v>33</v>
      </c>
      <c r="D190" s="20"/>
      <c r="E190" s="20"/>
      <c r="F190" s="18" t="s">
        <v>6</v>
      </c>
      <c r="G190" s="19" t="s">
        <v>34</v>
      </c>
    </row>
    <row r="191" spans="1:7" x14ac:dyDescent="0.3">
      <c r="A191" s="5">
        <v>1</v>
      </c>
      <c r="B191" s="2" t="s">
        <v>35</v>
      </c>
      <c r="C191" s="4" t="s">
        <v>36</v>
      </c>
      <c r="D191" s="4"/>
      <c r="E191" s="4"/>
      <c r="F191" s="3">
        <v>500</v>
      </c>
      <c r="G191" s="6">
        <v>500</v>
      </c>
    </row>
    <row r="192" spans="1:7" x14ac:dyDescent="0.3">
      <c r="A192" s="5">
        <v>2</v>
      </c>
      <c r="B192" s="2" t="s">
        <v>37</v>
      </c>
      <c r="C192" s="4" t="s">
        <v>9</v>
      </c>
      <c r="D192" s="4"/>
      <c r="E192" s="4"/>
      <c r="F192" s="3">
        <v>500</v>
      </c>
      <c r="G192" s="6">
        <v>500</v>
      </c>
    </row>
    <row r="193" spans="1:7" ht="15" thickBot="1" x14ac:dyDescent="0.35">
      <c r="A193" s="11"/>
      <c r="B193" s="12"/>
      <c r="C193" s="12"/>
      <c r="D193" s="12"/>
      <c r="E193" s="12"/>
      <c r="F193" s="12"/>
      <c r="G193" s="13"/>
    </row>
    <row r="194" spans="1:7" ht="15" thickBot="1" x14ac:dyDescent="0.35">
      <c r="A194" s="14" t="s">
        <v>40</v>
      </c>
      <c r="B194" s="15"/>
      <c r="C194" s="15"/>
      <c r="D194" s="15"/>
      <c r="E194" s="15"/>
      <c r="F194" s="15"/>
      <c r="G194" s="16"/>
    </row>
    <row r="195" spans="1:7" x14ac:dyDescent="0.3">
      <c r="A195" s="17" t="s">
        <v>32</v>
      </c>
      <c r="B195" s="18" t="s">
        <v>3</v>
      </c>
      <c r="C195" s="20" t="s">
        <v>33</v>
      </c>
      <c r="D195" s="20"/>
      <c r="E195" s="20"/>
      <c r="F195" s="18" t="s">
        <v>6</v>
      </c>
      <c r="G195" s="19" t="s">
        <v>34</v>
      </c>
    </row>
    <row r="196" spans="1:7" x14ac:dyDescent="0.3">
      <c r="A196" s="5">
        <v>1</v>
      </c>
      <c r="B196" s="2" t="s">
        <v>61</v>
      </c>
      <c r="C196" s="29" t="s">
        <v>64</v>
      </c>
      <c r="D196" s="30"/>
      <c r="E196" s="31"/>
      <c r="F196" s="3">
        <v>0</v>
      </c>
      <c r="G196" s="6">
        <v>0</v>
      </c>
    </row>
    <row r="197" spans="1:7" x14ac:dyDescent="0.3">
      <c r="A197" s="7"/>
      <c r="B197" s="4"/>
      <c r="C197" s="4"/>
      <c r="D197" s="4"/>
      <c r="E197" s="4"/>
      <c r="F197" s="4"/>
      <c r="G197" s="6"/>
    </row>
    <row r="198" spans="1:7" ht="15" thickBot="1" x14ac:dyDescent="0.35">
      <c r="A198" s="26" t="s">
        <v>39</v>
      </c>
      <c r="B198" s="27"/>
      <c r="C198" s="27"/>
      <c r="D198" s="27"/>
      <c r="E198" s="27"/>
      <c r="F198" s="27"/>
      <c r="G198" s="28">
        <f>G171+G175+G176+G181+G182+G183+G187+G191+G192+G196+G177</f>
        <v>10150</v>
      </c>
    </row>
  </sheetData>
  <mergeCells count="137">
    <mergeCell ref="A194:G194"/>
    <mergeCell ref="C195:E195"/>
    <mergeCell ref="C196:E196"/>
    <mergeCell ref="A197:F197"/>
    <mergeCell ref="A198:F198"/>
    <mergeCell ref="A188:G188"/>
    <mergeCell ref="A189:G189"/>
    <mergeCell ref="C190:E190"/>
    <mergeCell ref="C191:E191"/>
    <mergeCell ref="C192:E192"/>
    <mergeCell ref="A193:G193"/>
    <mergeCell ref="C180:E180"/>
    <mergeCell ref="C181:E181"/>
    <mergeCell ref="C182:E182"/>
    <mergeCell ref="C183:E183"/>
    <mergeCell ref="A184:G184"/>
    <mergeCell ref="A185:G185"/>
    <mergeCell ref="A168:G168"/>
    <mergeCell ref="A169:G169"/>
    <mergeCell ref="A172:G172"/>
    <mergeCell ref="A173:G173"/>
    <mergeCell ref="A178:G178"/>
    <mergeCell ref="A179:G179"/>
    <mergeCell ref="A159:G159"/>
    <mergeCell ref="A160:G160"/>
    <mergeCell ref="C161:E161"/>
    <mergeCell ref="C162:E162"/>
    <mergeCell ref="A163:F163"/>
    <mergeCell ref="A164:F164"/>
    <mergeCell ref="A151:G151"/>
    <mergeCell ref="A154:G154"/>
    <mergeCell ref="A155:G155"/>
    <mergeCell ref="C156:E156"/>
    <mergeCell ref="C157:E157"/>
    <mergeCell ref="C158:E158"/>
    <mergeCell ref="A145:G145"/>
    <mergeCell ref="C146:E146"/>
    <mergeCell ref="C147:E147"/>
    <mergeCell ref="C148:E148"/>
    <mergeCell ref="C149:E149"/>
    <mergeCell ref="A150:G150"/>
    <mergeCell ref="A130:F130"/>
    <mergeCell ref="A134:G134"/>
    <mergeCell ref="A135:G135"/>
    <mergeCell ref="A138:G138"/>
    <mergeCell ref="A139:G139"/>
    <mergeCell ref="A144:G144"/>
    <mergeCell ref="C124:E124"/>
    <mergeCell ref="A125:G125"/>
    <mergeCell ref="A126:G126"/>
    <mergeCell ref="C127:E127"/>
    <mergeCell ref="C128:E128"/>
    <mergeCell ref="A129:F129"/>
    <mergeCell ref="A116:G116"/>
    <mergeCell ref="A117:G117"/>
    <mergeCell ref="A120:G120"/>
    <mergeCell ref="A121:G121"/>
    <mergeCell ref="C122:E122"/>
    <mergeCell ref="C123:E123"/>
    <mergeCell ref="A110:G110"/>
    <mergeCell ref="A111:G111"/>
    <mergeCell ref="C112:E112"/>
    <mergeCell ref="C113:E113"/>
    <mergeCell ref="C114:E114"/>
    <mergeCell ref="C115:E115"/>
    <mergeCell ref="A95:F95"/>
    <mergeCell ref="A96:F96"/>
    <mergeCell ref="A100:G100"/>
    <mergeCell ref="A101:G101"/>
    <mergeCell ref="A104:G104"/>
    <mergeCell ref="A105:G105"/>
    <mergeCell ref="C89:E89"/>
    <mergeCell ref="C90:E90"/>
    <mergeCell ref="A91:G91"/>
    <mergeCell ref="A92:G92"/>
    <mergeCell ref="C93:E93"/>
    <mergeCell ref="C94:E94"/>
    <mergeCell ref="C81:E81"/>
    <mergeCell ref="A82:G82"/>
    <mergeCell ref="A83:G83"/>
    <mergeCell ref="A86:G86"/>
    <mergeCell ref="A87:G87"/>
    <mergeCell ref="C88:E88"/>
    <mergeCell ref="A72:G72"/>
    <mergeCell ref="A76:G76"/>
    <mergeCell ref="A77:G77"/>
    <mergeCell ref="C78:E78"/>
    <mergeCell ref="C79:E79"/>
    <mergeCell ref="C80:E80"/>
    <mergeCell ref="A62:F62"/>
    <mergeCell ref="A63:F63"/>
    <mergeCell ref="C61:E61"/>
    <mergeCell ref="A67:G67"/>
    <mergeCell ref="A68:G68"/>
    <mergeCell ref="A71:G71"/>
    <mergeCell ref="C55:E55"/>
    <mergeCell ref="C56:E56"/>
    <mergeCell ref="C57:E57"/>
    <mergeCell ref="A58:G58"/>
    <mergeCell ref="A59:G59"/>
    <mergeCell ref="C60:E60"/>
    <mergeCell ref="C47:E47"/>
    <mergeCell ref="C48:E48"/>
    <mergeCell ref="A49:G49"/>
    <mergeCell ref="A50:G50"/>
    <mergeCell ref="A53:G53"/>
    <mergeCell ref="A54:G54"/>
    <mergeCell ref="A38:G38"/>
    <mergeCell ref="A39:G39"/>
    <mergeCell ref="A43:G43"/>
    <mergeCell ref="A44:G44"/>
    <mergeCell ref="C45:E45"/>
    <mergeCell ref="C46:E46"/>
    <mergeCell ref="A26:G26"/>
    <mergeCell ref="C27:E27"/>
    <mergeCell ref="A29:F29"/>
    <mergeCell ref="A30:F30"/>
    <mergeCell ref="A34:G34"/>
    <mergeCell ref="A35:G35"/>
    <mergeCell ref="A20:G20"/>
    <mergeCell ref="A21:G21"/>
    <mergeCell ref="C22:E22"/>
    <mergeCell ref="C23:E23"/>
    <mergeCell ref="C24:E24"/>
    <mergeCell ref="A25:G25"/>
    <mergeCell ref="C12:E12"/>
    <mergeCell ref="C13:E13"/>
    <mergeCell ref="C14:E14"/>
    <mergeCell ref="C15:E15"/>
    <mergeCell ref="A16:G16"/>
    <mergeCell ref="A17:G17"/>
    <mergeCell ref="A1:G1"/>
    <mergeCell ref="A2:G2"/>
    <mergeCell ref="A5:G5"/>
    <mergeCell ref="A6:G6"/>
    <mergeCell ref="A10:G10"/>
    <mergeCell ref="A11:G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2962-3DAE-4202-B6F5-632EC09CC275}">
  <dimension ref="A1:F17"/>
  <sheetViews>
    <sheetView tabSelected="1" workbookViewId="0">
      <selection activeCell="E18" sqref="E18"/>
    </sheetView>
  </sheetViews>
  <sheetFormatPr defaultRowHeight="14.4" x14ac:dyDescent="0.3"/>
  <cols>
    <col min="2" max="2" width="35.88671875" customWidth="1"/>
    <col min="4" max="4" width="13" customWidth="1"/>
    <col min="5" max="5" width="37.6640625" customWidth="1"/>
    <col min="6" max="6" width="19.88671875" customWidth="1"/>
  </cols>
  <sheetData>
    <row r="1" spans="1:6" ht="15" thickBot="1" x14ac:dyDescent="0.35">
      <c r="A1" s="37" t="s">
        <v>32</v>
      </c>
      <c r="B1" s="41" t="s">
        <v>78</v>
      </c>
      <c r="C1" s="43" t="s">
        <v>79</v>
      </c>
      <c r="D1" s="41" t="s">
        <v>80</v>
      </c>
      <c r="E1" s="44" t="s">
        <v>83</v>
      </c>
      <c r="F1" s="43" t="s">
        <v>81</v>
      </c>
    </row>
    <row r="2" spans="1:6" x14ac:dyDescent="0.3">
      <c r="A2" s="48">
        <v>1</v>
      </c>
      <c r="B2" s="50" t="s">
        <v>0</v>
      </c>
      <c r="C2" s="48">
        <v>1</v>
      </c>
      <c r="D2" s="50" t="s">
        <v>82</v>
      </c>
      <c r="E2" s="51" t="s">
        <v>84</v>
      </c>
      <c r="F2" s="49">
        <f>'AS03-MP01'!G31</f>
        <v>64800</v>
      </c>
    </row>
    <row r="3" spans="1:6" x14ac:dyDescent="0.3">
      <c r="A3" s="39">
        <v>2</v>
      </c>
      <c r="B3" s="36" t="s">
        <v>41</v>
      </c>
      <c r="C3" s="39">
        <v>1</v>
      </c>
      <c r="D3" s="36" t="s">
        <v>82</v>
      </c>
      <c r="E3" s="52" t="s">
        <v>84</v>
      </c>
      <c r="F3" s="45">
        <f>'AS01'!G32</f>
        <v>21150</v>
      </c>
    </row>
    <row r="4" spans="1:6" x14ac:dyDescent="0.3">
      <c r="A4" s="39">
        <v>3</v>
      </c>
      <c r="B4" s="36" t="s">
        <v>45</v>
      </c>
      <c r="C4" s="39">
        <v>1</v>
      </c>
      <c r="D4" s="36" t="s">
        <v>82</v>
      </c>
      <c r="E4" s="52" t="s">
        <v>84</v>
      </c>
      <c r="F4" s="45">
        <f>'AS01'!G66</f>
        <v>16850</v>
      </c>
    </row>
    <row r="5" spans="1:6" x14ac:dyDescent="0.3">
      <c r="A5" s="39">
        <v>4</v>
      </c>
      <c r="B5" s="36" t="s">
        <v>49</v>
      </c>
      <c r="C5" s="39">
        <v>1</v>
      </c>
      <c r="D5" s="36" t="s">
        <v>82</v>
      </c>
      <c r="E5" s="52" t="s">
        <v>84</v>
      </c>
      <c r="F5" s="45">
        <f>'AS01'!G100</f>
        <v>13225</v>
      </c>
    </row>
    <row r="6" spans="1:6" x14ac:dyDescent="0.3">
      <c r="A6" s="39">
        <v>5</v>
      </c>
      <c r="B6" s="36" t="s">
        <v>53</v>
      </c>
      <c r="C6" s="39">
        <v>1</v>
      </c>
      <c r="D6" s="36" t="s">
        <v>82</v>
      </c>
      <c r="E6" s="52" t="s">
        <v>84</v>
      </c>
      <c r="F6" s="45">
        <f>'AS01'!G137</f>
        <v>28225</v>
      </c>
    </row>
    <row r="7" spans="1:6" x14ac:dyDescent="0.3">
      <c r="A7" s="39">
        <v>6</v>
      </c>
      <c r="B7" s="36" t="s">
        <v>62</v>
      </c>
      <c r="C7" s="39">
        <v>1</v>
      </c>
      <c r="D7" s="36" t="s">
        <v>82</v>
      </c>
      <c r="E7" s="52" t="s">
        <v>84</v>
      </c>
      <c r="F7" s="45">
        <f>'AS05'!G30</f>
        <v>11775</v>
      </c>
    </row>
    <row r="8" spans="1:6" x14ac:dyDescent="0.3">
      <c r="A8" s="39">
        <v>7</v>
      </c>
      <c r="B8" s="36" t="s">
        <v>65</v>
      </c>
      <c r="C8" s="39">
        <v>1</v>
      </c>
      <c r="D8" s="36" t="s">
        <v>82</v>
      </c>
      <c r="E8" s="52" t="s">
        <v>68</v>
      </c>
      <c r="F8" s="45">
        <f>'AS05'!G63</f>
        <v>8950</v>
      </c>
    </row>
    <row r="9" spans="1:6" x14ac:dyDescent="0.3">
      <c r="A9" s="39">
        <v>8</v>
      </c>
      <c r="B9" s="36" t="s">
        <v>85</v>
      </c>
      <c r="C9" s="39">
        <v>1</v>
      </c>
      <c r="D9" s="36" t="s">
        <v>82</v>
      </c>
      <c r="E9" s="52" t="s">
        <v>68</v>
      </c>
      <c r="F9" s="45">
        <f>'AS05'!G96</f>
        <v>9025</v>
      </c>
    </row>
    <row r="10" spans="1:6" x14ac:dyDescent="0.3">
      <c r="A10" s="39">
        <v>9</v>
      </c>
      <c r="B10" s="36" t="s">
        <v>86</v>
      </c>
      <c r="C10" s="39">
        <v>1</v>
      </c>
      <c r="D10" s="36" t="s">
        <v>82</v>
      </c>
      <c r="E10" s="52" t="s">
        <v>84</v>
      </c>
      <c r="F10" s="45">
        <f>'AS05'!G130</f>
        <v>17100</v>
      </c>
    </row>
    <row r="11" spans="1:6" x14ac:dyDescent="0.3">
      <c r="A11" s="39">
        <v>10</v>
      </c>
      <c r="B11" s="36" t="s">
        <v>74</v>
      </c>
      <c r="C11" s="39">
        <v>2</v>
      </c>
      <c r="D11" s="36" t="s">
        <v>82</v>
      </c>
      <c r="E11" s="52" t="s">
        <v>84</v>
      </c>
      <c r="F11" s="45">
        <f>'AS05'!G164</f>
        <v>13650</v>
      </c>
    </row>
    <row r="12" spans="1:6" ht="15" thickBot="1" x14ac:dyDescent="0.35">
      <c r="A12" s="40">
        <v>11</v>
      </c>
      <c r="B12" s="53" t="s">
        <v>73</v>
      </c>
      <c r="C12" s="40">
        <v>1</v>
      </c>
      <c r="D12" s="53" t="s">
        <v>82</v>
      </c>
      <c r="E12" s="54" t="s">
        <v>87</v>
      </c>
      <c r="F12" s="46">
        <f>'AS05'!G198</f>
        <v>10150</v>
      </c>
    </row>
    <row r="13" spans="1:6" x14ac:dyDescent="0.3">
      <c r="A13" s="47"/>
      <c r="B13" s="42"/>
      <c r="C13" s="42"/>
      <c r="D13" s="42"/>
      <c r="E13" s="42"/>
      <c r="F13" s="38"/>
    </row>
    <row r="14" spans="1:6" ht="15" thickBot="1" x14ac:dyDescent="0.35">
      <c r="A14" s="55" t="s">
        <v>39</v>
      </c>
      <c r="B14" s="56"/>
      <c r="C14" s="56"/>
      <c r="D14" s="56"/>
      <c r="E14" s="56"/>
      <c r="F14" s="46">
        <f>SUM(F2:F12)</f>
        <v>214900</v>
      </c>
    </row>
    <row r="15" spans="1:6" x14ac:dyDescent="0.3">
      <c r="F15" s="35"/>
    </row>
    <row r="16" spans="1:6" x14ac:dyDescent="0.3">
      <c r="F16" s="35"/>
    </row>
    <row r="17" spans="6:6" x14ac:dyDescent="0.3">
      <c r="F17" s="35"/>
    </row>
  </sheetData>
  <mergeCells count="2">
    <mergeCell ref="A14:E14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AS03-MP01</vt:lpstr>
      <vt:lpstr>AS01</vt:lpstr>
      <vt:lpstr>AS05</vt:lpstr>
      <vt:lpstr>Final Quote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2025-06-28T05:38:37Z</dcterms:created>
  <dcterms:modified xsi:type="dcterms:W3CDTF">2025-06-28T11:07:29Z</dcterms:modified>
</cp:coreProperties>
</file>